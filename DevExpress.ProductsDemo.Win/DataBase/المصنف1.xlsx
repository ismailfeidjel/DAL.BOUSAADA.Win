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Public\Documents\DevExpress Demos 24.1\Components\WinForms\DevExpress.ProductsDemo.Win\CS\DevExpress.ProductsDemo.Win\DataBase\"/>
    </mc:Choice>
  </mc:AlternateContent>
  <xr:revisionPtr revIDLastSave="0" documentId="13_ncr:1_{91EB4CDB-E1D5-43A8-BEDF-4EA825F98C95}" xr6:coauthVersionLast="47" xr6:coauthVersionMax="47" xr10:uidLastSave="{00000000-0000-0000-0000-000000000000}"/>
  <bookViews>
    <workbookView xWindow="-120" yWindow="-120" windowWidth="20730" windowHeight="11310" xr2:uid="{00000000-000D-0000-FFFF-FFFF00000000}"/>
  </bookViews>
  <sheets>
    <sheet name="ADSEC"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xlnm._FilterDatabase" localSheetId="0" hidden="1">ADSEC!$A$2:$BE$117</definedName>
    <definedName name="a">#REF!</definedName>
    <definedName name="AN">'[1]2011'!#REF!</definedName>
    <definedName name="banque">[2]BASE4!$B$6:$B$35</definedName>
    <definedName name="CHAPITRES">[3]Feuil1!$A$1:$B$13</definedName>
    <definedName name="dddddddd">[4]BASE4!$B$6:$B$35</definedName>
    <definedName name="h">#REF!</definedName>
    <definedName name="hh">#REF!</definedName>
    <definedName name="J">[5]المعلومات!#REF!</definedName>
    <definedName name="kkk">#REF!</definedName>
    <definedName name="kkkkkkkkkkkkkkk">#REF!</definedName>
    <definedName name="ListCom">[3]Commune!$A$2:$D$48</definedName>
    <definedName name="ListCom_AR">'[6]list commune'!#REF!</definedName>
    <definedName name="ListCom_Code">'[7]list commune'!$A$3:$A$49</definedName>
    <definedName name="ListDai_AR">#REF!</definedName>
    <definedName name="MYRANGE">#REF!</definedName>
    <definedName name="MyRng">[8]MANDAT!$A$5:$S$10040</definedName>
    <definedName name="MYRNG2">[8]MANDAT!$B$5:$S$10040</definedName>
    <definedName name="n">[6]المعلومات!#REF!</definedName>
    <definedName name="NOMENCLATURE_PSD">#REF!</definedName>
    <definedName name="ordmissio">[2]BASE3!$B$5:$B$10000</definedName>
    <definedName name="_xlnm.Print_Area" localSheetId="0">ADSEC!$A$1:$AN$118</definedName>
    <definedName name="_xlnm.Print_Area">#REF!</definedName>
    <definedName name="_xlnm.Print_Titles" localSheetId="0">ADSEC!$2:$2</definedName>
    <definedName name="PROG">#REF!</definedName>
    <definedName name="progies">'[9]العمليات المقبولة'!$F$7:$J$476</definedName>
    <definedName name="SECTEUR">#REF!</definedName>
    <definedName name="Sous_Secteur">'[10]s,secteur'!$A$2:$C$127</definedName>
    <definedName name="tab_cmn2">#REF!</definedName>
    <definedName name="tab_dra2">#REF!</definedName>
    <definedName name="TabCom">'[7]list commune'!$A$3:$D$49</definedName>
    <definedName name="TABLAEU1">#REF!</definedName>
    <definedName name="Table_Opr">OFFSET([11]Index!$B$11,1,0,COUNTA([11]Index!$B:$B),COUNTA([11]Index!$11:$11))</definedName>
    <definedName name="z_m_d">[12]Feuil1!$1:$1170</definedName>
    <definedName name="اا">#REF!</definedName>
    <definedName name="القطاعات">[9]Sheet4!$AC$407:$AD$412</definedName>
    <definedName name="بيل">'[13]2011'!#REF!</definedName>
    <definedName name="ففففففففففففف">#REF!</definedName>
    <definedName name="ك">[5]المعلومات!#REF!</definedName>
    <definedName name="لبابليت">#REF!</definedName>
    <definedName name="ملخص">#REF!</definedName>
    <definedName name="يبسبسي">#REF!</definedName>
    <definedName name="ئئئئئئئ">'[6]list commune'!#REF!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8" i="1" l="1"/>
  <c r="Q117" i="1"/>
  <c r="K117" i="1"/>
  <c r="A117" i="1"/>
  <c r="F118" i="1" s="1"/>
  <c r="Q116" i="1"/>
  <c r="K116" i="1"/>
  <c r="A116" i="1"/>
  <c r="Q115" i="1"/>
  <c r="K115" i="1"/>
  <c r="A115" i="1"/>
  <c r="Q114" i="1"/>
  <c r="K114" i="1"/>
  <c r="A114" i="1"/>
  <c r="Q113" i="1"/>
  <c r="K113" i="1"/>
  <c r="A113" i="1"/>
  <c r="Q112" i="1"/>
  <c r="K112" i="1"/>
  <c r="A112" i="1"/>
  <c r="Q111" i="1"/>
  <c r="K111" i="1"/>
  <c r="A111" i="1"/>
  <c r="Q110" i="1"/>
  <c r="K110" i="1"/>
  <c r="A110" i="1"/>
  <c r="K109" i="1"/>
  <c r="A109" i="1"/>
  <c r="Q108" i="1"/>
  <c r="K108" i="1"/>
  <c r="A108" i="1"/>
  <c r="Q107" i="1"/>
  <c r="K107" i="1"/>
  <c r="A107" i="1"/>
  <c r="Q106" i="1"/>
  <c r="K106" i="1"/>
  <c r="A106" i="1"/>
  <c r="Q105" i="1"/>
  <c r="K105" i="1"/>
  <c r="A105" i="1"/>
  <c r="Q104" i="1"/>
  <c r="K104" i="1"/>
  <c r="A104" i="1"/>
  <c r="Q103" i="1"/>
  <c r="K103" i="1"/>
  <c r="A103" i="1"/>
  <c r="Q102" i="1"/>
  <c r="K102" i="1"/>
  <c r="A102" i="1"/>
  <c r="Q101" i="1"/>
  <c r="K101" i="1"/>
  <c r="A101" i="1"/>
  <c r="Q100" i="1"/>
  <c r="K100" i="1"/>
  <c r="A100" i="1"/>
  <c r="Q99" i="1"/>
  <c r="K99" i="1"/>
  <c r="A99" i="1"/>
  <c r="Q98" i="1"/>
  <c r="K98" i="1"/>
  <c r="A98" i="1"/>
  <c r="Q97" i="1"/>
  <c r="K97" i="1"/>
  <c r="A97" i="1"/>
  <c r="Q96" i="1"/>
  <c r="K96" i="1"/>
  <c r="A96" i="1"/>
  <c r="Q95" i="1"/>
  <c r="K95" i="1"/>
  <c r="A95" i="1"/>
  <c r="Q94" i="1"/>
  <c r="K94" i="1"/>
  <c r="A94" i="1"/>
  <c r="Q93" i="1"/>
  <c r="K93" i="1"/>
  <c r="A93" i="1"/>
  <c r="Q92" i="1"/>
  <c r="K92" i="1"/>
  <c r="A92" i="1"/>
  <c r="Q91" i="1"/>
  <c r="K91" i="1"/>
  <c r="A91" i="1"/>
  <c r="Q90" i="1"/>
  <c r="K90" i="1"/>
  <c r="A90" i="1"/>
  <c r="Q89" i="1"/>
  <c r="K89" i="1"/>
  <c r="A89" i="1"/>
  <c r="Q88" i="1"/>
  <c r="K88" i="1"/>
  <c r="A88" i="1"/>
  <c r="Q87" i="1"/>
  <c r="K87" i="1"/>
  <c r="A87" i="1"/>
  <c r="Q86" i="1"/>
  <c r="K86" i="1"/>
  <c r="A86" i="1"/>
  <c r="Q85" i="1"/>
  <c r="K85" i="1"/>
  <c r="A85" i="1"/>
  <c r="Q84" i="1"/>
  <c r="K84" i="1"/>
  <c r="A84" i="1"/>
  <c r="Q83" i="1"/>
  <c r="K83" i="1"/>
  <c r="A83" i="1"/>
  <c r="Q82" i="1"/>
  <c r="K82" i="1"/>
  <c r="A82" i="1"/>
  <c r="Q81" i="1"/>
  <c r="K81" i="1"/>
  <c r="A81" i="1"/>
  <c r="Q80" i="1"/>
  <c r="K80" i="1"/>
  <c r="A80" i="1"/>
  <c r="L79" i="1"/>
  <c r="L118" i="1" s="1"/>
  <c r="K79" i="1"/>
  <c r="A79" i="1"/>
  <c r="Q78" i="1"/>
  <c r="K78" i="1"/>
  <c r="A78" i="1"/>
  <c r="Q77" i="1"/>
  <c r="K77" i="1"/>
  <c r="A77" i="1"/>
  <c r="Q76" i="1"/>
  <c r="K76" i="1"/>
  <c r="A76" i="1"/>
  <c r="Q75" i="1"/>
  <c r="K75" i="1"/>
  <c r="A75" i="1"/>
  <c r="Q74" i="1"/>
  <c r="K74" i="1"/>
  <c r="A74" i="1"/>
  <c r="Q73" i="1"/>
  <c r="K73" i="1"/>
  <c r="A73" i="1"/>
  <c r="Q72" i="1"/>
  <c r="K72" i="1"/>
  <c r="A72" i="1"/>
  <c r="K71" i="1"/>
  <c r="A71" i="1"/>
  <c r="Q70" i="1"/>
  <c r="K70" i="1"/>
  <c r="A70" i="1"/>
  <c r="Q69" i="1"/>
  <c r="K69" i="1"/>
  <c r="A69" i="1"/>
  <c r="Q68" i="1"/>
  <c r="K68" i="1"/>
  <c r="A68" i="1"/>
  <c r="Q67" i="1"/>
  <c r="K67" i="1"/>
  <c r="A67" i="1"/>
  <c r="Q66" i="1"/>
  <c r="K66" i="1"/>
  <c r="A66" i="1"/>
  <c r="Q65" i="1"/>
  <c r="K65" i="1"/>
  <c r="A65" i="1"/>
  <c r="Q64" i="1"/>
  <c r="K64" i="1"/>
  <c r="A64" i="1"/>
  <c r="Q63" i="1"/>
  <c r="K63" i="1"/>
  <c r="A63" i="1"/>
  <c r="Q62" i="1"/>
  <c r="K62" i="1"/>
  <c r="A62" i="1"/>
  <c r="Q61" i="1"/>
  <c r="K61" i="1"/>
  <c r="A61" i="1"/>
  <c r="Q60" i="1"/>
  <c r="K60" i="1"/>
  <c r="A60" i="1"/>
  <c r="Q59" i="1"/>
  <c r="K59" i="1"/>
  <c r="A59" i="1"/>
  <c r="Q58" i="1"/>
  <c r="K58" i="1"/>
  <c r="A58" i="1"/>
  <c r="Q57" i="1"/>
  <c r="K57" i="1"/>
  <c r="A57" i="1"/>
  <c r="Q56" i="1"/>
  <c r="K56" i="1"/>
  <c r="A56" i="1"/>
  <c r="Q55" i="1"/>
  <c r="K55" i="1"/>
  <c r="A55" i="1"/>
  <c r="Q54" i="1"/>
  <c r="K54" i="1"/>
  <c r="A54" i="1"/>
  <c r="Q53" i="1"/>
  <c r="K53" i="1"/>
  <c r="A53" i="1"/>
  <c r="Q52" i="1"/>
  <c r="K52" i="1"/>
  <c r="A52" i="1"/>
  <c r="Q51" i="1"/>
  <c r="K51" i="1"/>
  <c r="A51" i="1"/>
  <c r="Q50" i="1"/>
  <c r="K50" i="1"/>
  <c r="A50" i="1"/>
  <c r="Q49" i="1"/>
  <c r="K49" i="1"/>
  <c r="A49" i="1"/>
  <c r="Q48" i="1"/>
  <c r="K48" i="1"/>
  <c r="A48" i="1"/>
  <c r="Q47" i="1"/>
  <c r="K47" i="1"/>
  <c r="A47" i="1"/>
  <c r="Q46" i="1"/>
  <c r="K46" i="1"/>
  <c r="A46" i="1"/>
  <c r="Q45" i="1"/>
  <c r="K45" i="1"/>
  <c r="A45" i="1"/>
  <c r="Q44" i="1"/>
  <c r="K44" i="1"/>
  <c r="A44" i="1"/>
  <c r="Q43" i="1"/>
  <c r="K43" i="1"/>
  <c r="A43" i="1"/>
  <c r="K42" i="1"/>
  <c r="A42" i="1"/>
  <c r="Q41" i="1"/>
  <c r="K41" i="1"/>
  <c r="A41" i="1"/>
  <c r="Q40" i="1"/>
  <c r="K40" i="1"/>
  <c r="A40" i="1"/>
  <c r="Q39" i="1"/>
  <c r="K39" i="1"/>
  <c r="A39" i="1"/>
  <c r="Q38" i="1"/>
  <c r="K38" i="1"/>
  <c r="A38" i="1"/>
  <c r="K37" i="1"/>
  <c r="A37" i="1"/>
  <c r="Q36" i="1"/>
  <c r="K36" i="1"/>
  <c r="A36" i="1"/>
  <c r="Q35" i="1"/>
  <c r="K35" i="1"/>
  <c r="A35" i="1"/>
  <c r="Q34" i="1"/>
  <c r="K34" i="1"/>
  <c r="A34" i="1"/>
  <c r="Q33" i="1"/>
  <c r="K33" i="1"/>
  <c r="A33" i="1"/>
  <c r="Q32" i="1"/>
  <c r="K32" i="1"/>
  <c r="A32" i="1"/>
  <c r="Q31" i="1"/>
  <c r="K31" i="1"/>
  <c r="A31" i="1"/>
  <c r="Q30" i="1"/>
  <c r="K30" i="1"/>
  <c r="A30" i="1"/>
  <c r="Q29" i="1"/>
  <c r="K29" i="1"/>
  <c r="A29" i="1"/>
  <c r="Q28" i="1"/>
  <c r="K28" i="1"/>
  <c r="A28" i="1"/>
  <c r="Q27" i="1"/>
  <c r="K27" i="1"/>
  <c r="A27" i="1"/>
  <c r="Q26" i="1"/>
  <c r="K26" i="1"/>
  <c r="A26" i="1"/>
  <c r="Q25" i="1"/>
  <c r="K25" i="1"/>
  <c r="A25" i="1"/>
  <c r="Q24" i="1"/>
  <c r="K24" i="1"/>
  <c r="A24" i="1"/>
  <c r="J23" i="1"/>
  <c r="K23" i="1" s="1"/>
  <c r="A23" i="1"/>
  <c r="Q22" i="1"/>
  <c r="K22" i="1"/>
  <c r="A22" i="1"/>
  <c r="Q21" i="1"/>
  <c r="K21" i="1"/>
  <c r="A21" i="1"/>
  <c r="Q20" i="1"/>
  <c r="K20" i="1"/>
  <c r="Q19" i="1"/>
  <c r="K19" i="1"/>
  <c r="A19" i="1"/>
  <c r="Q18" i="1"/>
  <c r="K18" i="1"/>
  <c r="A18" i="1"/>
  <c r="Q17" i="1"/>
  <c r="K17" i="1"/>
  <c r="A17" i="1"/>
  <c r="Q16" i="1"/>
  <c r="K16" i="1"/>
  <c r="A16" i="1"/>
  <c r="Q15" i="1"/>
  <c r="K15" i="1"/>
  <c r="A15" i="1"/>
  <c r="Q14" i="1"/>
  <c r="K14" i="1"/>
  <c r="A14" i="1"/>
  <c r="Q13" i="1"/>
  <c r="K13" i="1"/>
  <c r="A13" i="1"/>
  <c r="Q12" i="1"/>
  <c r="K12" i="1"/>
  <c r="A12" i="1"/>
  <c r="Q11" i="1"/>
  <c r="K11" i="1"/>
  <c r="A11" i="1"/>
  <c r="K10" i="1"/>
  <c r="A10" i="1"/>
  <c r="Q9" i="1"/>
  <c r="K9" i="1"/>
  <c r="A9" i="1"/>
  <c r="Q8" i="1"/>
  <c r="K8" i="1"/>
  <c r="A8" i="1"/>
  <c r="Q7" i="1"/>
  <c r="K7" i="1"/>
  <c r="A7" i="1"/>
  <c r="Q6" i="1"/>
  <c r="K6" i="1"/>
  <c r="A6" i="1"/>
  <c r="Q5" i="1"/>
  <c r="K5" i="1"/>
  <c r="A5" i="1"/>
  <c r="Q4" i="1"/>
  <c r="K4" i="1"/>
  <c r="A4" i="1"/>
  <c r="Q3" i="1"/>
  <c r="K3" i="1"/>
  <c r="A3" i="1"/>
  <c r="K118" i="1" l="1"/>
  <c r="Q23" i="1"/>
  <c r="Q79" i="1"/>
  <c r="J118" i="1"/>
</calcChain>
</file>

<file path=xl/sharedStrings.xml><?xml version="1.0" encoding="utf-8"?>
<sst xmlns="http://schemas.openxmlformats.org/spreadsheetml/2006/main" count="1529" uniqueCount="346">
  <si>
    <t>وضعية المشاريع لبرنامج ( ADSEC 2026 ) -المستلمة  - على مستوى دائرة بوسعادة محينة بتاريخ:11/05/2026</t>
  </si>
  <si>
    <t>الرقم</t>
  </si>
  <si>
    <t>الدائرة</t>
  </si>
  <si>
    <t>البلدية</t>
  </si>
  <si>
    <t>البرنامج</t>
  </si>
  <si>
    <t>الباقي من الغلاف المالي</t>
  </si>
  <si>
    <t>النسبة المالية</t>
  </si>
  <si>
    <t>وضعية العملية</t>
  </si>
  <si>
    <t>بوسعادة</t>
  </si>
  <si>
    <t>تهيئة حضرية بحي محمد شعباني</t>
  </si>
  <si>
    <t>ADSEC 2026</t>
  </si>
  <si>
    <t>تهيئة حضرية</t>
  </si>
  <si>
    <t>التعمير والبناء</t>
  </si>
  <si>
    <t>حشروف للبناء</t>
  </si>
  <si>
    <t>105 يوم</t>
  </si>
  <si>
    <t>جارية</t>
  </si>
  <si>
    <t>الاشغال جارية</t>
  </si>
  <si>
    <t>اعانة</t>
  </si>
  <si>
    <t>دون</t>
  </si>
  <si>
    <t>للتسجيل</t>
  </si>
  <si>
    <t>تجديد شبكة الصرف الصحي بحي محمد شعباني</t>
  </si>
  <si>
    <t>التطهير</t>
  </si>
  <si>
    <t>الموارد المائية</t>
  </si>
  <si>
    <t>دحيري مصطفى</t>
  </si>
  <si>
    <t xml:space="preserve">150 يوم </t>
  </si>
  <si>
    <t>توسيع شبكة المياه الصالحة للشرب بحي محمد شعباني</t>
  </si>
  <si>
    <t>التزود بالمياه الصالحة للشرب</t>
  </si>
  <si>
    <t xml:space="preserve">120 يوم </t>
  </si>
  <si>
    <t>مسجلة</t>
  </si>
  <si>
    <t>تم اعادة الاجراءات بسبب التنازل من طرف المقاولة - تم المنح المؤقت.</t>
  </si>
  <si>
    <t>انجاز  ساحة لعب بالعشب الإصطناعي بحي الكادات</t>
  </si>
  <si>
    <t>الشباب والرياضة</t>
  </si>
  <si>
    <t>التجهيزات العمومية</t>
  </si>
  <si>
    <t>رحمون علي</t>
  </si>
  <si>
    <t>75 يوم</t>
  </si>
  <si>
    <t>على مستوى الرقابة المالية للتاشير</t>
  </si>
  <si>
    <t>تهيئة حضرية بحي سيدي سليمان</t>
  </si>
  <si>
    <t>والي ايوب</t>
  </si>
  <si>
    <t>03 شهر</t>
  </si>
  <si>
    <t>تهيئة حضرية بقرية المعذر</t>
  </si>
  <si>
    <t>بسيطة بوضياف</t>
  </si>
  <si>
    <t>50 يوم</t>
  </si>
  <si>
    <t>صيانة الطريق البلدي رقم 01 مابين ن ك 0 الى ن ك 07 على مسافة 03   كم</t>
  </si>
  <si>
    <t>طرق ومسالك</t>
  </si>
  <si>
    <t>الاشغال العمومية</t>
  </si>
  <si>
    <t>والي حكيم</t>
  </si>
  <si>
    <t>04 اشهر</t>
  </si>
  <si>
    <t>الاشغال جارية- في انتظار رخصة جلب حصى الوادي</t>
  </si>
  <si>
    <t>مصنف 1</t>
  </si>
  <si>
    <t>انجاز انارة عمومية نوع لاد عبر احياء المدينة</t>
  </si>
  <si>
    <t>الانارة العمومية</t>
  </si>
  <si>
    <t>غير مسجلة</t>
  </si>
  <si>
    <r>
      <t xml:space="preserve">تم التبليغ يوم .  04/07/2026  
 </t>
    </r>
    <r>
      <rPr>
        <b/>
        <sz val="24"/>
        <color rgb="FFFF0000"/>
        <rFont val="Segoe UI"/>
        <family val="2"/>
      </rPr>
      <t>(عملية اضافية)</t>
    </r>
  </si>
  <si>
    <t>دفتر</t>
  </si>
  <si>
    <t>للدراسة</t>
  </si>
  <si>
    <t xml:space="preserve">الهامل </t>
  </si>
  <si>
    <t>تهيئة حضرية على امتداد شارع جيش التحرير الطريق الرئيسي ومن المقبرة الى شارع مزوزي الخذير وشارع الثورة حي مفدي زكرياء</t>
  </si>
  <si>
    <t xml:space="preserve">بغدادي عمار </t>
  </si>
  <si>
    <t>90 يوم</t>
  </si>
  <si>
    <t xml:space="preserve">الاشغال جارية </t>
  </si>
  <si>
    <t>تهيئة حضرية بشارع لطرش احمد</t>
  </si>
  <si>
    <t>حشروف الطاهر</t>
  </si>
  <si>
    <t>3 اشهر</t>
  </si>
  <si>
    <t>تم تسجيل المررة التعديلية بتاريخ :07/07/2026 تم التداول لفتح الاعتماد</t>
  </si>
  <si>
    <t>cf</t>
  </si>
  <si>
    <t>تهيئة حضرية بحي العائدين</t>
  </si>
  <si>
    <t xml:space="preserve">زوليخة توفيق </t>
  </si>
  <si>
    <t>11 اسبوع</t>
  </si>
  <si>
    <t>توسيع شبكة الانارة العمومية عبر احياء المدينة</t>
  </si>
  <si>
    <t>شايبي عمر</t>
  </si>
  <si>
    <t>ترميم قاعة علاج  بحي راس العين</t>
  </si>
  <si>
    <t>الصحة</t>
  </si>
  <si>
    <t xml:space="preserve">دحية الحسين </t>
  </si>
  <si>
    <t>رفض الملف من طرف الرقابة المالية لعدم وجود شهادة التسجيل</t>
  </si>
  <si>
    <t xml:space="preserve"> تجديد و توسيع شبكة الصرف الصحي عبر احياء - عبد الحميد مهري -  الامير عبد القادر -  العائدين -  يوسف زيغود</t>
  </si>
  <si>
    <t>ولتام</t>
  </si>
  <si>
    <t>تجديد و توسيع شبكة الصرف الصحي بالعليق</t>
  </si>
  <si>
    <t>3.5 شهر</t>
  </si>
  <si>
    <t>تجديد و توسيع شبكة الصرف الصحي بولتام المركزي</t>
  </si>
  <si>
    <t>سليماني عبد القادر</t>
  </si>
  <si>
    <t>مستلمة</t>
  </si>
  <si>
    <t xml:space="preserve">ملف  الغلق  لدى امين الخزينة </t>
  </si>
  <si>
    <t>تجديد و توسيع شبكة المياه الصالحة للشرب بالعليق</t>
  </si>
  <si>
    <t>88 يوم</t>
  </si>
  <si>
    <t>الاشغال جارية (توقف الاشغال يوم 21-04-2026  اصدار امر بالاستاناف يوم 07-07-2026)</t>
  </si>
  <si>
    <t>تجديد و توسيع شبكة المياه الصالحة للشرب بولتام المركزي</t>
  </si>
  <si>
    <t>45 يوم</t>
  </si>
  <si>
    <t>تجديد و توسيع شبكة المياه الصالحة للشرب بعون الله</t>
  </si>
  <si>
    <t>60 يوم</t>
  </si>
  <si>
    <t>تهيئة حضرية بحي القصر العتيق العليق</t>
  </si>
  <si>
    <t>خيرواني للبناء</t>
  </si>
  <si>
    <t xml:space="preserve">أولاد سيدي براهيم </t>
  </si>
  <si>
    <t xml:space="preserve">تجديد شبكة التطهير بحي الدشرة و المصالحة </t>
  </si>
  <si>
    <t>سعد المال وليد رشيد</t>
  </si>
  <si>
    <t>متوقفة</t>
  </si>
  <si>
    <t xml:space="preserve">ايداع ملف التسجيل بعد اعادة الاجراءات </t>
  </si>
  <si>
    <t xml:space="preserve">تجديد شبكة توزيع المياه الصالحة للشرب بالمنظر الجميل وجنان الكاف والمصالحة و 101 قطعة </t>
  </si>
  <si>
    <t>عبيدة رابح</t>
  </si>
  <si>
    <t xml:space="preserve">ملف تسوية المالية و الغلق  لدى امين الخزينة </t>
  </si>
  <si>
    <t>انجاز شبكة توزيع المياه الصالحة للشرب بالواد الميت لعويشات</t>
  </si>
  <si>
    <t xml:space="preserve">خضراوي عائشة </t>
  </si>
  <si>
    <t>35 يوم</t>
  </si>
  <si>
    <t>صيانة الطريق البلدي رقم 05 الرابط بين الطريق الوطني رقم 08 والديس من ن ك 2400 الى ن ك 2420</t>
  </si>
  <si>
    <t>بسيطة السعيد</t>
  </si>
  <si>
    <t>انجاز ساحة لعب بالعشب الاصطناعي بعين الديس  - بلدية اولاد سيدي ابراهيم</t>
  </si>
  <si>
    <t>خيذري هشام</t>
  </si>
  <si>
    <t>مغلقة</t>
  </si>
  <si>
    <t>مغلقة بتاريخ 18-06-2026</t>
  </si>
  <si>
    <t xml:space="preserve"> بناء قاعة تدريس للمدرسة الابتدائية حميدي السعيد بحي الواد الابيض</t>
  </si>
  <si>
    <t>التربية</t>
  </si>
  <si>
    <t>حبيشي عامر</t>
  </si>
  <si>
    <t>05 شهر</t>
  </si>
  <si>
    <t>الاشغال جارية - في انتظار المصادقة على المخططات من طرف CTC</t>
  </si>
  <si>
    <t xml:space="preserve"> بناء قاعة تدريس للمدرسة الابتدائية عمر بن الخطاب بحي البتة</t>
  </si>
  <si>
    <t xml:space="preserve"> بناء قاعة للتدريس بالمدرسة الابتدائية المصالحة</t>
  </si>
  <si>
    <t xml:space="preserve">مناد عبد الرزاق </t>
  </si>
  <si>
    <t>180 يوم</t>
  </si>
  <si>
    <t xml:space="preserve"> بناء قاعة للتدريس بالمدرسة الابتدائية ابوبكر الصديق</t>
  </si>
  <si>
    <t>انجاز  بئر  على مستوى التجمع السكاني بئر الصديق مع الربط بالكهرباء</t>
  </si>
  <si>
    <t>سلمان لحسن</t>
  </si>
  <si>
    <t>6 اشهر</t>
  </si>
  <si>
    <t>بن زوه</t>
  </si>
  <si>
    <t>توسيع شبكة المياه الصالحة للشرب بحي عين سحنون ، عين خرمام وذراع الطين</t>
  </si>
  <si>
    <t xml:space="preserve">زيد الخير خالد </t>
  </si>
  <si>
    <t>02 شهر</t>
  </si>
  <si>
    <t xml:space="preserve">توسيع شبكة التطهير بسد خرمام طواهرية و ذراع الطين </t>
  </si>
  <si>
    <t>تم الغلق يوم 09/07/2026</t>
  </si>
  <si>
    <t xml:space="preserve">انجاز مصب الصرف الصحي  المراحات 02 </t>
  </si>
  <si>
    <t>صابر اياد</t>
  </si>
  <si>
    <t xml:space="preserve">انجاز  طريق يربط المقبرة بالطريق الوطني رقم 08 بعين خرمام  على مسافة 800 م </t>
  </si>
  <si>
    <t>ش ذ م م او او ار  بي اش بي</t>
  </si>
  <si>
    <t>تم الغلق يوم 04/05/2026</t>
  </si>
  <si>
    <t xml:space="preserve">انجاز ساحة لعب بالعشب الاصطناعي ببنزوه مركز </t>
  </si>
  <si>
    <t>دحية علي</t>
  </si>
  <si>
    <r>
      <t xml:space="preserve">تم التسجيل بتاريخ 13-07-2026
</t>
    </r>
    <r>
      <rPr>
        <b/>
        <sz val="24"/>
        <color rgb="FFFF0000"/>
        <rFont val="Segoe UI"/>
        <family val="2"/>
      </rPr>
      <t>(عملية اضافية)</t>
    </r>
  </si>
  <si>
    <t>تداول</t>
  </si>
  <si>
    <t>بن سرور</t>
  </si>
  <si>
    <t>صيانة الطريق البلدي  رقم 02 الرابط بين منطقة السارق والطريق الوطني رقم 46 الشطر الثاني على مسافة 3 كلم</t>
  </si>
  <si>
    <t>رميثة ليلى</t>
  </si>
  <si>
    <t>توسيع شبكة المياه الصالحة للشرب  بحي 80 مسكن وطريق مسيف</t>
  </si>
  <si>
    <t>بن البار عيسى</t>
  </si>
  <si>
    <t>تجديد وتوسيع شبكة التطهير بأحياء المستشفى-الميكانيك-الأطلس-الميته  ببلدية بن سرور</t>
  </si>
  <si>
    <t xml:space="preserve">طويري سليمان </t>
  </si>
  <si>
    <t>65 يوم</t>
  </si>
  <si>
    <t>تم الغلق يوم 18/06/2026</t>
  </si>
  <si>
    <t xml:space="preserve">إعادة تهيئة مدرسة زريط سعد ببن سرور </t>
  </si>
  <si>
    <t>جرارة كمال</t>
  </si>
  <si>
    <t>على مستوى الرقابة المالية وجود مشكلة التسجيل العقاري</t>
  </si>
  <si>
    <t>صيانة الطريق البلدي رقم 06 الرابط بين منطقة عين سي عمر والطريق الوطني رقم 70 على مسافة 01 كم</t>
  </si>
  <si>
    <t>تم التسجيل بتاريخ 13-07-2026</t>
  </si>
  <si>
    <t>محمد بوضياف</t>
  </si>
  <si>
    <t>تهيئة حضرية  (طرق + أرصفة) بشارع مسعودي أحمد بن علي بحي القرية</t>
  </si>
  <si>
    <t>بسيطة سعيد</t>
  </si>
  <si>
    <t>تهيئة حضرية   (طرق + أرصفة) عبر الشوارع الرابطة بين شارع الزيقم عبد المجيد الحفناوي والطريق الوطني 70</t>
  </si>
  <si>
    <t>بن اعمر فضيلة</t>
  </si>
  <si>
    <t>04 شهر</t>
  </si>
  <si>
    <t>تهيئة حضرية  (طرق + أرصفة)  بشارع طويري عبد الحميد بن بوسعيد</t>
  </si>
  <si>
    <t xml:space="preserve">صيانة الطريق البلدي رقم 01 الرابط بين الطريق الوطني رقم 70 ومنطقة بوملال على مسافة 0.2 كلم </t>
  </si>
  <si>
    <t>التسوية المالية والغلق</t>
  </si>
  <si>
    <t>اولاد سليمان</t>
  </si>
  <si>
    <t>انجاز بئر لتزويد مدينة اولاد سليمان بالمياه الصالحة للشرب</t>
  </si>
  <si>
    <t>صيد عبد الله</t>
  </si>
  <si>
    <t>نتائج الحفر سلبية</t>
  </si>
  <si>
    <t>صيانة الطريق البلدي رقم 06 الرابط بين منطقة الشترة-الدهلاس ومدينة أولاد سليمان الشطر الثاني على مسافة 2 كلم</t>
  </si>
  <si>
    <t>الاشغال جارية تم توجيه اعذار كتابي للمقاول يوم 30/06/2026</t>
  </si>
  <si>
    <t>الزرزور</t>
  </si>
  <si>
    <t>انجاز شبكة  المياه الصالحة للشرب بمنطقة الخربة</t>
  </si>
  <si>
    <t>بن فرحات كمال</t>
  </si>
  <si>
    <t>مغلقة بتاريخ 11/05/2026</t>
  </si>
  <si>
    <t>توسيع شبكة الإنارة العمومية للمدخل الشمالي والجنوبي - بلدية الزرزور</t>
  </si>
  <si>
    <t xml:space="preserve">ش ذ م م  عباسي </t>
  </si>
  <si>
    <t>مغلقة بتاريخ 14/05/2026</t>
  </si>
  <si>
    <t>انجاز مسلك مدعم يربط منطقة المسدور بالطريق البلدي لحبارة على مسافة 3 كلم</t>
  </si>
  <si>
    <t xml:space="preserve">الأشغال جارية </t>
  </si>
  <si>
    <t>تهيئة حضرية   (طرق + أرصفة) بجانب الملعب البلدي الزرزور مركز</t>
  </si>
  <si>
    <t>بودور عبد الجبار</t>
  </si>
  <si>
    <t>تعبيد الطريق الرابط بين منطقة أم العجول ومدينة الزرزور الشطر الاول على مسافة 2 كلم</t>
  </si>
  <si>
    <t>صيانة الطريق البلدي رقم 06 الرابط بين الطريق الوطني رقم 70 ومنطقة الدخان على مسافة 0.1 كلم ( عند معبر واد الزفزاف)</t>
  </si>
  <si>
    <t>مغلقة بتاريخ 4-06-2026</t>
  </si>
  <si>
    <t>جبل أمساعد</t>
  </si>
  <si>
    <t>جبل امساعد</t>
  </si>
  <si>
    <t xml:space="preserve">انجاز بئر لتموين تجمع السمارة بالمياه الصالحة للشرب </t>
  </si>
  <si>
    <t>لمونس النوي</t>
  </si>
  <si>
    <t>135 يوم</t>
  </si>
  <si>
    <t>تم التكفل في انتظار ODS - تم ايداع الاعذار بالجرائد لعدم استلام المقاولة للامر بالخدمةيوم 01/07/2026</t>
  </si>
  <si>
    <t xml:space="preserve"> ربط بئر العقلة البيضاء بقناة الجلب لمدينة جبل امساعد  </t>
  </si>
  <si>
    <t>01 شهر</t>
  </si>
  <si>
    <t>تم الغلق يوم 20/07/2026</t>
  </si>
  <si>
    <t xml:space="preserve">بناء قاعة علاج بمنطقة المقسم الابيض </t>
  </si>
  <si>
    <t xml:space="preserve">قادري محمد </t>
  </si>
  <si>
    <t>تجديد وتوسيع شبكة الصرف الصحي عبر احياء (غزالي المختار – بكراوي علي – اعمارة محمد – لزرق احمد – لسلت زيان – احميدي عبد القادر – بن رية احمد – طيبي علي )</t>
  </si>
  <si>
    <t xml:space="preserve">بديرينة محمد </t>
  </si>
  <si>
    <t>سليم</t>
  </si>
  <si>
    <t xml:space="preserve">تجديد وتوسيع شبكة الصرف الصحي  ببلدية سليم لاحياء (عز الدين محمد،جقبوب احمد،براهم سعد،بوزيدي علي ،لقراب محمد )  </t>
  </si>
  <si>
    <t>مؤسسة اشغال الري</t>
  </si>
  <si>
    <t>تجديد وتوسيع شبكة الصرف الصحي بعين مقارنز -الشطر 02-</t>
  </si>
  <si>
    <t>تم الغلق يوم 23/06/2026</t>
  </si>
  <si>
    <t>بناء  03 قاعات تدريس + مطعم مدرسي نمط 100 وجبة بحي الفرشة بلدية سليم: بناء  03 قاعات تدريس</t>
  </si>
  <si>
    <t>فراحتية الميلود</t>
  </si>
  <si>
    <t>بناء  03 قاعات تدريس + مطعم مدرسي نمط 100 وجبة بحي الفرشة بلدية سليم: بناء مطعم مدرسي نمط 100 وجبة</t>
  </si>
  <si>
    <t>تجديد المعدات للمدارس الابتدائية لبلدية سليم</t>
  </si>
  <si>
    <t xml:space="preserve">جنيدي محمد </t>
  </si>
  <si>
    <t>20 يوم</t>
  </si>
  <si>
    <t>تم الغلق يوم 12/07/2026</t>
  </si>
  <si>
    <t xml:space="preserve">تهيئة حضرية لحي جقبوب بلقاسم </t>
  </si>
  <si>
    <t>مجمع الحضنة</t>
  </si>
  <si>
    <r>
      <t xml:space="preserve">تم التسجيل يوم 13/07/2026
</t>
    </r>
    <r>
      <rPr>
        <b/>
        <sz val="24"/>
        <color rgb="FFFF0000"/>
        <rFont val="Segoe UI"/>
        <family val="2"/>
      </rPr>
      <t>(عملية اضافية)</t>
    </r>
  </si>
  <si>
    <t>الخبانة</t>
  </si>
  <si>
    <t>تهيئة ساحة ببلدية الخبانة</t>
  </si>
  <si>
    <t>خليف عادل</t>
  </si>
  <si>
    <t>تعبيد الطرق البلدية على مسافة 04 كلم (طريق العرف على مسافة  800م - طريق معذر الدفلة على مسافة 2 كم   - طريق المرقب على مسافة1,2 كم )</t>
  </si>
  <si>
    <t>بري رضا</t>
  </si>
  <si>
    <t>توسيع شبكة الصرف الصحي ببلدية الخبانة</t>
  </si>
  <si>
    <t>الاصيل للاشغال</t>
  </si>
  <si>
    <t>تهيئة حضرية بقرية واد سيدي اسعيد</t>
  </si>
  <si>
    <t>بعلي عبد الرزاق</t>
  </si>
  <si>
    <t xml:space="preserve">تهيئة حضرية حي بلواضح حسان ( أرصفة ) </t>
  </si>
  <si>
    <t xml:space="preserve"> م ذ ش و ذ م م نوح المسك </t>
  </si>
  <si>
    <t>تهيئة حضرية ( أرصفة ) حي بلواضح الطيب / لخضر</t>
  </si>
  <si>
    <t>م ش ذ و  م م ال ال</t>
  </si>
  <si>
    <t>الحوامد</t>
  </si>
  <si>
    <t>صيانة الطريق البلدي رقم 06: صيانة الطريق الرابط بين طريق لمريق ومعيزة على مسافة 03 كلم</t>
  </si>
  <si>
    <t>قوود وورك سرفيس</t>
  </si>
  <si>
    <t xml:space="preserve">متوقفة </t>
  </si>
  <si>
    <t>اعادة الاجراءات بعد الفسخ</t>
  </si>
  <si>
    <t xml:space="preserve">إنجاز 03 قاعات تدريس لمدرسة شرابة علي بحي 100 مسكن اجتماعي </t>
  </si>
  <si>
    <t>صدارة عادل</t>
  </si>
  <si>
    <t>صيانة الطريق البلدي رقم 01: صيانة ممر  واد العباسية</t>
  </si>
  <si>
    <t>شوادر سمير</t>
  </si>
  <si>
    <t>تجديد وتوسيع شبكة الصرف الصحي بالتجمع الرئيسي الرمانة</t>
  </si>
  <si>
    <t xml:space="preserve">تجديد وتوسيع شبكة المياه الصالحة للشرب بالتجمع الرئيسي الرمانة </t>
  </si>
  <si>
    <t>امسيف</t>
  </si>
  <si>
    <t>توسيع شبكة الصرف الصحي ببلدية مسيف</t>
  </si>
  <si>
    <t>توسيع شبكة المياه الصالحة للشرب ببلدية مسيف</t>
  </si>
  <si>
    <t>بناء 04 أقسام توسعية لمدرسة المجاهد حسيني لخضر بمسيف</t>
  </si>
  <si>
    <t>عياش حمودة</t>
  </si>
  <si>
    <t xml:space="preserve">الاشغال جارية  </t>
  </si>
  <si>
    <t>تهيئة مدخلي ذراع يوسف ببلدية مسيف</t>
  </si>
  <si>
    <t>إنجــــــاز  طريق بمنطقة الغابة على مسافة 1,5 كلم</t>
  </si>
  <si>
    <t xml:space="preserve"> مؤسسة زهرة للاشغال</t>
  </si>
  <si>
    <t>امجدل</t>
  </si>
  <si>
    <t>انجاز خزان سعة 50 م3 مع الربط بمختلف الشبكات بالجهة الغربية لمنطقة اللويبدة</t>
  </si>
  <si>
    <t>بن قادة بلخير</t>
  </si>
  <si>
    <t>85 يوم</t>
  </si>
  <si>
    <t>تجديد وتوسيع شبكة الصرف الصحي بمنطقة اللويبدة</t>
  </si>
  <si>
    <t xml:space="preserve">انجاز ثلاثة 03 اقسام توسعة بمدرسة الشهيد يزير محمد بلدية امجدل </t>
  </si>
  <si>
    <t>120 يوم</t>
  </si>
  <si>
    <t>تم تأشير لجنة الصفقات بتاريخ 19-07-2026</t>
  </si>
  <si>
    <t>توسعة شبكة الانارة العمومية من ثانوية المجاهد بن البار مسعود إلى غاية المفرغة العمومية</t>
  </si>
  <si>
    <t>خيذري ميلتي سرفيس</t>
  </si>
  <si>
    <t>في طور الغلق</t>
  </si>
  <si>
    <t>انجاز 03 قاعات للتدريس  بحي احمد زبانة بلدية امجدل</t>
  </si>
  <si>
    <t>صيانة الطريق البلدي رقم 01 الرابط بين المرازيق والكراكة على مسافة 05 كلم ( الشطر الثاني)</t>
  </si>
  <si>
    <t>150 يوم</t>
  </si>
  <si>
    <t>مناعة</t>
  </si>
  <si>
    <t>انجاز 06 قاعات للتدريس + التدفئة المركزية + اعادة تهيئة بمدرسة الشهيد عزيز سليمان</t>
  </si>
  <si>
    <t>انجاز ساحة  مغطاة بالعشب الاصطناعي بالحي الجديد بلدية مناعة</t>
  </si>
  <si>
    <t>55 يوم</t>
  </si>
  <si>
    <t>ربط  المدرسة الابتدائية الشهيد عزيز سليمان بشبكة الصرف الصحي بمسافة 400 م ط</t>
  </si>
  <si>
    <t>الاء تسنيم</t>
  </si>
  <si>
    <t xml:space="preserve">توسعة شبكة الانارة العمومية من الملعب البلدي إلى غاية المفرغة العمومية </t>
  </si>
  <si>
    <t>صيانةالطريق الرابط بين الطريق الاجتنابي وبيت المكي على مسافة 2 كلم</t>
  </si>
  <si>
    <t>عين الملح</t>
  </si>
  <si>
    <t>توسيع شبكة الصرف الصحي عبر احياء  البساتين و راس العين على مسافة 6700 متر  ( الشطر الاول 01  )</t>
  </si>
  <si>
    <t>عين الريش</t>
  </si>
  <si>
    <t>صيانة الطريق البلدي رقم 01 الرابط بين الطريق الوطني رقم 89 الى غاية  البساتين على مسافة 05 كلم</t>
  </si>
  <si>
    <t xml:space="preserve">طيبي محمد </t>
  </si>
  <si>
    <t>سيدي امحمد</t>
  </si>
  <si>
    <t>تهيئة حضرية بالتجمعات السكنية - ارصفة - :   برج بلخريف</t>
  </si>
  <si>
    <t>بنيرة رزيق</t>
  </si>
  <si>
    <t>4 اشهر</t>
  </si>
  <si>
    <t>تم تسجيل المقرر التعديلي يوم 24/06/2026 -اجتماع لجنة الصفقات بتاريخ 20-07-2026</t>
  </si>
  <si>
    <t>تهيئة حضرية بالتجمعات السكنية - ارصفة - :   القرية الفلاحية</t>
  </si>
  <si>
    <t>جبل ثامر للمقاولات</t>
  </si>
  <si>
    <t>تهيئة حضرية بالتجمعات السكنية - ارصفة - :   عين سيدي امحمد</t>
  </si>
  <si>
    <t>تم تسجيل المقرر التعديلي يوم 24/06/2026  -اجتماع لجنة الصفقات بتاريخ 20-07-2026</t>
  </si>
  <si>
    <t xml:space="preserve">تكملة توسعة شبكة المياه الصالحة للشرب بالبثعة مع ربطها بالخزان </t>
  </si>
  <si>
    <t>تم الغلق يوم 10/06/2026</t>
  </si>
  <si>
    <t>انجاز شبكة الصرف الصحي بالتجمعات السكنية ببلدية سيدي امحمد</t>
  </si>
  <si>
    <t>انجاز ساحة لعب معشوشبة اصطناعيا بمنطقة الزريقات</t>
  </si>
  <si>
    <t xml:space="preserve">دحيري مصطفى </t>
  </si>
  <si>
    <t xml:space="preserve">عين فارس </t>
  </si>
  <si>
    <t>تجديد وتوسيع قنوات الصرف الصحي بعين فارس والخوان</t>
  </si>
  <si>
    <t>تهيئة وترميم قاعة العلاج بمنطقة أولاد عطية</t>
  </si>
  <si>
    <t>جغلاف عبد الله</t>
  </si>
  <si>
    <t>68 يوم</t>
  </si>
  <si>
    <t xml:space="preserve">بئر الفضة </t>
  </si>
  <si>
    <t>تهيئة حضرية بالمقيطع -تزفيت-</t>
  </si>
  <si>
    <t>88  يوم</t>
  </si>
  <si>
    <t>CF</t>
  </si>
  <si>
    <t>انجاز مكتب بريدي ببئر الفضة</t>
  </si>
  <si>
    <t>البريد والمواصلات</t>
  </si>
  <si>
    <t>بومدوحة محمد لمين</t>
  </si>
  <si>
    <t>06 شهر</t>
  </si>
  <si>
    <t>سيدي عامر</t>
  </si>
  <si>
    <t>إنجاز و تجهيز مطعم مدرسي نمط 200 وجبة بالمدرسة الابتدائية بوصيلة بن هني</t>
  </si>
  <si>
    <t xml:space="preserve">وزاني اسماعيل </t>
  </si>
  <si>
    <t>07 اشهر</t>
  </si>
  <si>
    <t>تم تأشير من طرف المراقب الميزانياتي يوم 15/07/2026في انتظار ods</t>
  </si>
  <si>
    <t xml:space="preserve"> توسعة شبكة الصرف الصحي بحي دحماني سعيد </t>
  </si>
  <si>
    <t>عبدو جمال الدين</t>
  </si>
  <si>
    <t>108 يوم</t>
  </si>
  <si>
    <t xml:space="preserve"> تم التسجيل يوم 19/04/2026 - تم التداول على فتح الاعتماد المالي 07/06/2026</t>
  </si>
  <si>
    <t>اعادة تهيئة ساحة لعب  بمدرسة عاشور الحاج بمنطقة الخرزة وتغطيتها بالعشب الاصطناعي</t>
  </si>
  <si>
    <t xml:space="preserve">دحيري عبد الصمد </t>
  </si>
  <si>
    <t>في انتظار التأشير من طرف المراقب المالي بعد رفع التحفضات خلال هذا الاسبوع</t>
  </si>
  <si>
    <t>اعادة تهيئة ساحة لعب  بمدرسة زياد احمد وتغطيتها بالعشب الاصطناعي</t>
  </si>
  <si>
    <t>التهيئة الحضرية لمحيط المؤسسات التربوية  ( حديبي فرحات - بوصيلة بن هني- هواري احمد ) الشطر الأول</t>
  </si>
  <si>
    <t>مؤسسة جدي</t>
  </si>
  <si>
    <t>تم الالتزام من طرف الرقابة المالية يوم 08/06/2026 في انتظار ods</t>
  </si>
  <si>
    <t>صيانة الطريق البلدي رقم 04 الرابط بين الطريق الوطني رقم 89 ومنطقة الصفي على مسافة 06 كلم(الشطر الاول)</t>
  </si>
  <si>
    <t>تمت المصادقة على دفتر الشروط بتاريخ :20/07/2026</t>
  </si>
  <si>
    <t>تامسة</t>
  </si>
  <si>
    <t>التهيئة الحضرية: تهيئة الحديقة العمومية بن ناصر سالم بتامسة</t>
  </si>
  <si>
    <t>محدب خالد</t>
  </si>
  <si>
    <t>تم اعطاء اشارة الانطلاق بتاريخ :19/07/2026</t>
  </si>
  <si>
    <t>انجاز مسلك يربط مدينة تامسة بمنطقة مقطع بن رفان على مسافة 2.5 كلم</t>
  </si>
  <si>
    <t xml:space="preserve">عبد المجيد علي </t>
  </si>
  <si>
    <t>57 يوم</t>
  </si>
  <si>
    <t>تجديد وتوسعة شبكة الصرف الصحي بحي الوئام حي بن السايب ومنطقة معذر تامسة ( الشطر الاول)</t>
  </si>
  <si>
    <t xml:space="preserve">سليماني عبد القادر </t>
  </si>
  <si>
    <t>إنجاز مطعم مدرسي نمط 100 وجبة بالمدرسة الابتدائية المجاهد جفال علي بمنطقة الطويرف</t>
  </si>
  <si>
    <t>بيترو بار تونار</t>
  </si>
  <si>
    <t>07 شهر</t>
  </si>
  <si>
    <t xml:space="preserve">التهيئة الحضرية: التهيئة الحضرية لمحيط ابتدائية الشهيد مصطفى بن بوالعيد تامسة </t>
  </si>
  <si>
    <t>انجاز فضاء لعب بمنطقة وجه زمرة</t>
  </si>
  <si>
    <t>صيانة الطريق البلدي رقم 04 الرابط بين الطريق الولائي رقم 06 ومنطقة حرملة على مسافة 04 كم</t>
  </si>
  <si>
    <t>تهيئة  قاعة العلاج غزال رافع بمنطقة بئر ماجد</t>
  </si>
  <si>
    <t>محمد عبد اللاوي</t>
  </si>
  <si>
    <t>54 يوم</t>
  </si>
  <si>
    <t>بمبلغ</t>
  </si>
  <si>
    <t>SPETIA1</t>
  </si>
  <si>
    <t>SPETIA2</t>
  </si>
  <si>
    <t>SPETIA3</t>
  </si>
  <si>
    <t>تسمية العمليةoperation_name</t>
  </si>
  <si>
    <t>administrative_procedures</t>
  </si>
  <si>
    <t>الغلاف الماليlot_budget</t>
  </si>
  <si>
    <t>الاستهلاك الماليconsumed_amount</t>
  </si>
  <si>
    <t>المقاولةcontractor</t>
  </si>
  <si>
    <t>آجال الإنجازexecution_duration</t>
  </si>
  <si>
    <t>تاريخ إنطلاق الأشغالstart_date</t>
  </si>
  <si>
    <t>نسبة تقدم الأشغالphysical_progress</t>
  </si>
  <si>
    <t>الملاحظاتnotes</t>
  </si>
  <si>
    <t>القطاعsector</t>
  </si>
  <si>
    <t>المجالdomain</t>
  </si>
  <si>
    <t>مبلغ التسجيل regis tered_amount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</si>
</sst>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_(* \(#,##0.00\);_(* &quot;-&quot;??_);_(@_)"/>
    <numFmt numFmtId="164" formatCode="_-* #,##0.00\ _د_._ج_._‏_-;\-* #,##0.00\ _د_._ج_._‏_-;_-* &quot;-&quot;??\ _د_._ج_._‏_-;_-@_-"/>
    <numFmt numFmtId="165" formatCode="_-* #,##0.00_-;\-* #,##0.00_-;_-* &quot;-&quot;??_-;_-@_-"/>
    <numFmt numFmtId="166" formatCode="_-* #,##0.00_-;_-* #,##0.00\-;_-* &quot;-&quot;??_-;_-@_-"/>
    <numFmt numFmtId="167" formatCode="_-* #,##0.00\ _€_-;\-* #,##0.00\ _€_-;_-* &quot;-&quot;??\ _€_-;_-@_-"/>
    <numFmt numFmtId="168" formatCode="_-* #,##0.00_د_._ج_._‏_-;\-* #,##0.00_د_._ج_._‏_-;_-* &quot;-&quot;??_د_._ج_._‏_-;_-@_-"/>
    <numFmt numFmtId="169" formatCode="#,##0.00\ _€"/>
    <numFmt numFmtId="170" formatCode="[$-1010000]yyyy/mm/dd;@"/>
    <numFmt numFmtId="171" formatCode="_-* #,##0.00\ _D_A_-;\-* #,##0.00\ _D_A_-;_-* &quot;-&quot;??\ _D_A_-;_-@_-"/>
    <numFmt numFmtId="172" formatCode="_-* #,##0_-;_-* #,##0\-;_-* &quot;-&quot;??_-;_-@_-"/>
    <numFmt numFmtId="173" formatCode="0.0%"/>
    <numFmt numFmtId="174" formatCode="_-* #,##0.0_-;\-* #,##0.0_-;_-* &quot;-&quot;??_-;_-@_-"/>
    <numFmt numFmtId="175" formatCode="0.000%"/>
    <numFmt numFmtId="176" formatCode="00"/>
    <numFmt numFmtId="177" formatCode="_-* #,##0.0\ _€_-;\-* #,##0.0\ _€_-;_-* &quot;-&quot;??\ _€_-;_-@_-"/>
    <numFmt numFmtId="178" formatCode="#,##0.00;[Red]#,##0.00"/>
    <numFmt numFmtId="179" formatCode="&quot; ر.س.&quot;#,##0&quot; &quot;;&quot; ر.س.-&quot;#,##0&quot; &quot;;&quot; ر.س.- &quot;;&quot; &quot;@&quot; &quot;"/>
  </numFmts>
  <fonts count="57">
    <font>
      <sz val="11"/>
      <color theme="1"/>
      <name val="Calibri"/>
      <family val="2"/>
      <charset val="178"/>
      <scheme val="minor"/>
    </font>
    <font>
      <sz val="11"/>
      <color theme="1"/>
      <name val="Calibri"/>
      <family val="2"/>
      <charset val="178"/>
      <scheme val="minor"/>
    </font>
    <font>
      <b/>
      <u/>
      <sz val="28"/>
      <color theme="1"/>
      <name val="Calibri"/>
      <family val="2"/>
      <scheme val="minor"/>
    </font>
    <font>
      <b/>
      <sz val="14"/>
      <name val="Calibri"/>
      <family val="2"/>
      <scheme val="minor"/>
    </font>
    <font>
      <b/>
      <sz val="14"/>
      <color theme="1"/>
      <name val="Calibri"/>
      <family val="2"/>
      <scheme val="minor"/>
    </font>
    <font>
      <sz val="14"/>
      <color theme="1"/>
      <name val="Calibri"/>
      <family val="2"/>
      <scheme val="minor"/>
    </font>
    <font>
      <b/>
      <sz val="18"/>
      <color theme="1"/>
      <name val="Segoe UI"/>
      <family val="2"/>
    </font>
    <font>
      <b/>
      <sz val="18"/>
      <name val="Segoe UI"/>
      <family val="2"/>
    </font>
    <font>
      <b/>
      <sz val="18"/>
      <color theme="1"/>
      <name val="Calibri"/>
      <family val="2"/>
      <scheme val="minor"/>
    </font>
    <font>
      <b/>
      <sz val="20"/>
      <name val="Calibri"/>
      <family val="2"/>
      <scheme val="minor"/>
    </font>
    <font>
      <b/>
      <sz val="22"/>
      <name val="Segoe UI"/>
      <family val="2"/>
    </font>
    <font>
      <b/>
      <sz val="18"/>
      <name val="Calibri"/>
      <family val="2"/>
      <scheme val="minor"/>
    </font>
    <font>
      <b/>
      <sz val="26"/>
      <name val="Segoe UI"/>
      <family val="2"/>
    </font>
    <font>
      <b/>
      <sz val="16"/>
      <name val="Segoe UI"/>
      <family val="2"/>
    </font>
    <font>
      <b/>
      <sz val="24"/>
      <name val="Segoe UI"/>
      <family val="2"/>
    </font>
    <font>
      <sz val="18"/>
      <color theme="1"/>
      <name val="Calibri"/>
      <family val="2"/>
      <scheme val="minor"/>
    </font>
    <font>
      <b/>
      <sz val="24"/>
      <color theme="1"/>
      <name val="Segoe UI"/>
      <family val="2"/>
    </font>
    <font>
      <b/>
      <sz val="26"/>
      <name val="Calibri"/>
      <family val="2"/>
      <scheme val="minor"/>
    </font>
    <font>
      <b/>
      <sz val="24"/>
      <color rgb="FFFF0000"/>
      <name val="Segoe UI"/>
      <family val="2"/>
    </font>
    <font>
      <b/>
      <sz val="24"/>
      <name val="Calibri"/>
      <family val="2"/>
      <scheme val="minor"/>
    </font>
    <font>
      <b/>
      <sz val="22"/>
      <name val="Calibri"/>
      <family val="2"/>
      <scheme val="minor"/>
    </font>
    <font>
      <b/>
      <sz val="16"/>
      <name val="Calibri"/>
      <family val="2"/>
      <scheme val="minor"/>
    </font>
    <font>
      <b/>
      <sz val="21"/>
      <name val="Segoe UI"/>
      <family val="2"/>
    </font>
    <font>
      <sz val="11"/>
      <color theme="1"/>
      <name val="Calibri"/>
      <family val="2"/>
      <scheme val="minor"/>
    </font>
    <font>
      <b/>
      <sz val="14"/>
      <name val="Segoe UI"/>
      <family val="2"/>
    </font>
    <font>
      <b/>
      <sz val="18"/>
      <color rgb="FFFF0000"/>
      <name val="Segoe UI"/>
      <family val="2"/>
    </font>
    <font>
      <b/>
      <sz val="20"/>
      <name val="Segoe UI"/>
      <family val="2"/>
    </font>
    <font>
      <b/>
      <sz val="16"/>
      <color theme="1"/>
      <name val="Segoe UI"/>
      <family val="2"/>
    </font>
    <font>
      <b/>
      <sz val="16"/>
      <color rgb="FF000000"/>
      <name val="Segoe UI"/>
      <family val="2"/>
    </font>
    <font>
      <b/>
      <sz val="22"/>
      <color theme="1"/>
      <name val="Segoe UI"/>
      <family val="2"/>
    </font>
    <font>
      <b/>
      <sz val="20"/>
      <color theme="1"/>
      <name val="Calibri"/>
      <family val="2"/>
      <scheme val="minor"/>
    </font>
    <font>
      <b/>
      <sz val="26"/>
      <color theme="1"/>
      <name val="Calibri"/>
      <family val="2"/>
      <scheme val="minor"/>
    </font>
    <font>
      <b/>
      <sz val="26"/>
      <color theme="1"/>
      <name val="Segoe UI"/>
      <family val="2"/>
    </font>
    <font>
      <b/>
      <shadow/>
      <sz val="24"/>
      <name val="Segoe UI"/>
      <family val="2"/>
    </font>
    <font>
      <sz val="18"/>
      <color rgb="FFFF0000"/>
      <name val="Calibri"/>
      <family val="2"/>
      <scheme val="minor"/>
    </font>
    <font>
      <b/>
      <sz val="22"/>
      <color theme="1"/>
      <name val="Calibri"/>
      <family val="2"/>
      <scheme val="minor"/>
    </font>
    <font>
      <b/>
      <sz val="21"/>
      <color theme="1"/>
      <name val="Sakkal Majalla"/>
    </font>
    <font>
      <b/>
      <sz val="28"/>
      <color theme="1"/>
      <name val="Calibri"/>
      <family val="2"/>
      <scheme val="minor"/>
    </font>
    <font>
      <b/>
      <sz val="22"/>
      <color theme="1"/>
      <name val="Sakkal Majalla"/>
    </font>
    <font>
      <b/>
      <sz val="18"/>
      <color theme="1"/>
      <name val="Sakkal Majalla"/>
    </font>
    <font>
      <sz val="12"/>
      <color theme="1"/>
      <name val="Sakkal Majalla"/>
    </font>
    <font>
      <sz val="10"/>
      <color theme="1"/>
      <name val="Calibri"/>
      <family val="2"/>
      <scheme val="minor"/>
    </font>
    <font>
      <b/>
      <sz val="10"/>
      <color theme="1"/>
      <name val="Calibri"/>
      <family val="2"/>
      <scheme val="minor"/>
    </font>
    <font>
      <sz val="14"/>
      <color theme="1"/>
      <name val="Sakkal Majalla"/>
    </font>
    <font>
      <b/>
      <sz val="10"/>
      <name val="Calibri"/>
      <family val="2"/>
      <scheme val="minor"/>
    </font>
    <font>
      <b/>
      <sz val="14"/>
      <name val="Sakkal Majalla"/>
    </font>
    <font>
      <b/>
      <sz val="21"/>
      <name val="Sakkal Majalla"/>
    </font>
    <font>
      <b/>
      <sz val="12"/>
      <color theme="1"/>
      <name val="Sakkal Majalla"/>
    </font>
    <font>
      <sz val="11"/>
      <color rgb="FF000000"/>
      <name val="Calibri"/>
      <family val="2"/>
    </font>
    <font>
      <sz val="10"/>
      <name val="Arial"/>
      <family val="2"/>
    </font>
    <font>
      <sz val="11"/>
      <color indexed="8"/>
      <name val="Calibri"/>
      <family val="2"/>
      <charset val="204"/>
    </font>
    <font>
      <sz val="12"/>
      <color theme="1"/>
      <name val="Arial"/>
      <family val="2"/>
    </font>
    <font>
      <sz val="11"/>
      <color indexed="8"/>
      <name val="Calibri"/>
      <family val="2"/>
    </font>
    <font>
      <sz val="11"/>
      <color indexed="8"/>
      <name val="Calibri"/>
      <family val="2"/>
      <charset val="178"/>
    </font>
    <font>
      <sz val="12"/>
      <name val="Arial (Arabic)"/>
      <charset val="178"/>
    </font>
    <font>
      <sz val="11"/>
      <color indexed="9"/>
      <name val="Calibri"/>
      <family val="2"/>
    </font>
    <font>
      <sz val="10"/>
      <color indexed="8"/>
      <name val="Arial"/>
      <family val="2"/>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C6E0B4"/>
        <bgColor rgb="FFC6E0B4"/>
      </patternFill>
    </fill>
  </fills>
  <borders count="17">
    <border>
      <left/>
      <right/>
      <top/>
      <bottom/>
      <diagonal/>
    </border>
    <border>
      <left/>
      <right style="thin">
        <color indexed="64"/>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top style="medium">
        <color indexed="64"/>
      </top>
      <bottom style="medium">
        <color indexed="64"/>
      </bottom>
      <diagonal/>
    </border>
    <border>
      <left/>
      <right/>
      <top style="medium">
        <color indexed="64"/>
      </top>
      <bottom/>
      <diagonal/>
    </border>
  </borders>
  <cellStyleXfs count="330">
    <xf numFmtId="0" fontId="0" fillId="0" borderId="0"/>
    <xf numFmtId="164" fontId="1" fillId="0" borderId="0" applyFont="0" applyFill="0" applyBorder="0" applyAlignment="0" applyProtection="0"/>
    <xf numFmtId="9" fontId="1" fillId="0" borderId="0" applyFont="0" applyFill="0" applyBorder="0" applyAlignment="0" applyProtection="0"/>
    <xf numFmtId="0" fontId="23" fillId="0" borderId="0"/>
    <xf numFmtId="0" fontId="48" fillId="11" borderId="0" applyNumberFormat="0" applyFont="0" applyBorder="0" applyAlignment="0" applyProtection="0"/>
    <xf numFmtId="165" fontId="1" fillId="0" borderId="0" applyFont="0" applyFill="0" applyBorder="0" applyAlignment="0" applyProtection="0"/>
    <xf numFmtId="164" fontId="23" fillId="0" borderId="0" applyFont="0" applyFill="0" applyBorder="0" applyAlignment="0" applyProtection="0"/>
    <xf numFmtId="166" fontId="1" fillId="0" borderId="0" applyFont="0" applyFill="0" applyBorder="0" applyAlignment="0" applyProtection="0"/>
    <xf numFmtId="167" fontId="23" fillId="0" borderId="0" applyFont="0" applyFill="0" applyBorder="0" applyAlignment="0" applyProtection="0"/>
    <xf numFmtId="166" fontId="23" fillId="0" borderId="0" applyFont="0" applyFill="0" applyBorder="0" applyAlignment="0" applyProtection="0"/>
    <xf numFmtId="167" fontId="1" fillId="0" borderId="0" applyFont="0" applyFill="0" applyBorder="0" applyAlignment="0" applyProtection="0"/>
    <xf numFmtId="0" fontId="49" fillId="0" borderId="0" applyFont="0" applyFill="0" applyBorder="0" applyAlignment="0" applyProtection="0"/>
    <xf numFmtId="43" fontId="1" fillId="0" borderId="0" applyFont="0" applyFill="0" applyBorder="0" applyAlignment="0" applyProtection="0"/>
    <xf numFmtId="167" fontId="23" fillId="0" borderId="0" applyFont="0" applyFill="0" applyBorder="0" applyAlignment="0" applyProtection="0"/>
    <xf numFmtId="167" fontId="49" fillId="0" borderId="0" applyFont="0" applyFill="0" applyBorder="0" applyAlignment="0" applyProtection="0"/>
    <xf numFmtId="168" fontId="23" fillId="0" borderId="0" applyFont="0" applyFill="0" applyBorder="0" applyAlignment="0" applyProtection="0"/>
    <xf numFmtId="165" fontId="23" fillId="0" borderId="0" applyFont="0" applyFill="0" applyBorder="0" applyAlignment="0" applyProtection="0"/>
    <xf numFmtId="43" fontId="50" fillId="0" borderId="0" applyFont="0" applyFill="0" applyBorder="0" applyAlignment="0" applyProtection="0"/>
    <xf numFmtId="169" fontId="1" fillId="0" borderId="0" applyFont="0" applyFill="0" applyBorder="0" applyAlignment="0" applyProtection="0"/>
    <xf numFmtId="0" fontId="49" fillId="0" borderId="0" applyFont="0" applyFill="0" applyBorder="0" applyAlignment="0" applyProtection="0"/>
    <xf numFmtId="170" fontId="49" fillId="0" borderId="0" applyFont="0" applyFill="0" applyBorder="0" applyAlignment="0" applyProtection="0"/>
    <xf numFmtId="170" fontId="49"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67" fontId="23" fillId="0" borderId="0" applyFont="0" applyFill="0" applyBorder="0" applyAlignment="0" applyProtection="0"/>
    <xf numFmtId="172" fontId="23" fillId="0" borderId="0" applyFont="0" applyFill="0" applyBorder="0" applyAlignment="0" applyProtection="0"/>
    <xf numFmtId="43"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68" fontId="51" fillId="0" borderId="0" applyFont="0" applyFill="0" applyBorder="0" applyAlignment="0" applyProtection="0"/>
    <xf numFmtId="169" fontId="50" fillId="0" borderId="0" applyFont="0" applyFill="0" applyBorder="0" applyAlignment="0" applyProtection="0"/>
    <xf numFmtId="165" fontId="23" fillId="0" borderId="0" applyFont="0" applyFill="0" applyBorder="0" applyAlignment="0" applyProtection="0"/>
    <xf numFmtId="173" fontId="52" fillId="0" borderId="0" applyFont="0" applyFill="0" applyBorder="0" applyAlignment="0" applyProtection="0"/>
    <xf numFmtId="43" fontId="5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8" fontId="23" fillId="0" borderId="0" applyFont="0" applyFill="0" applyBorder="0" applyAlignment="0" applyProtection="0"/>
    <xf numFmtId="166" fontId="53"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167" fontId="23" fillId="0" borderId="0" applyFont="0" applyFill="0" applyBorder="0" applyAlignment="0" applyProtection="0"/>
    <xf numFmtId="170" fontId="4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2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6" fontId="1" fillId="0" borderId="0" applyFont="0" applyFill="0" applyBorder="0" applyAlignment="0" applyProtection="0"/>
    <xf numFmtId="167" fontId="49"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70" fontId="23" fillId="0" borderId="0" applyFont="0" applyFill="0" applyBorder="0" applyAlignment="0" applyProtection="0"/>
    <xf numFmtId="170" fontId="23" fillId="0" borderId="0" applyFont="0" applyFill="0" applyBorder="0" applyAlignment="0" applyProtection="0"/>
    <xf numFmtId="167" fontId="23" fillId="0" borderId="0" applyFont="0" applyFill="0" applyBorder="0" applyAlignment="0" applyProtection="0"/>
    <xf numFmtId="167" fontId="49" fillId="0" borderId="0" applyFont="0" applyFill="0" applyBorder="0" applyAlignment="0" applyProtection="0"/>
    <xf numFmtId="165" fontId="23" fillId="0" borderId="0" applyFont="0" applyFill="0" applyBorder="0" applyAlignment="0" applyProtection="0"/>
    <xf numFmtId="174" fontId="23" fillId="0" borderId="0" applyFont="0" applyFill="0" applyBorder="0" applyAlignment="0" applyProtection="0"/>
    <xf numFmtId="175" fontId="49"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6" fontId="49"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67" fontId="49"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67" fontId="49" fillId="0" borderId="0" applyFont="0" applyFill="0" applyBorder="0" applyAlignment="0" applyProtection="0"/>
    <xf numFmtId="177" fontId="49"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71" fontId="23" fillId="0" borderId="0" applyFont="0" applyFill="0" applyBorder="0" applyAlignment="0" applyProtection="0"/>
    <xf numFmtId="167" fontId="49" fillId="0" borderId="0" applyFont="0" applyFill="0" applyBorder="0" applyAlignment="0" applyProtection="0"/>
    <xf numFmtId="178" fontId="23" fillId="0" borderId="0" applyFont="0" applyFill="0" applyBorder="0" applyAlignment="0" applyProtection="0"/>
    <xf numFmtId="178" fontId="23" fillId="0" borderId="0" applyFont="0" applyFill="0" applyBorder="0" applyAlignment="0" applyProtection="0"/>
    <xf numFmtId="170" fontId="49" fillId="0" borderId="0" applyFont="0" applyFill="0" applyBorder="0" applyAlignment="0" applyProtection="0"/>
    <xf numFmtId="0" fontId="49" fillId="0" borderId="0"/>
    <xf numFmtId="0" fontId="49" fillId="0" borderId="0"/>
    <xf numFmtId="0" fontId="1" fillId="0" borderId="0"/>
    <xf numFmtId="0" fontId="1" fillId="0" borderId="0"/>
    <xf numFmtId="0" fontId="49" fillId="0" borderId="0"/>
    <xf numFmtId="0" fontId="49" fillId="0" borderId="0"/>
    <xf numFmtId="0" fontId="1" fillId="0" borderId="0"/>
    <xf numFmtId="0" fontId="49" fillId="0" borderId="0"/>
    <xf numFmtId="0" fontId="49" fillId="0" borderId="0"/>
    <xf numFmtId="0" fontId="49" fillId="0" borderId="0"/>
    <xf numFmtId="0" fontId="1" fillId="0" borderId="0"/>
    <xf numFmtId="0" fontId="49" fillId="0" borderId="0"/>
    <xf numFmtId="0" fontId="23" fillId="0" borderId="0"/>
    <xf numFmtId="0" fontId="1" fillId="0" borderId="0"/>
    <xf numFmtId="0" fontId="23" fillId="0" borderId="0"/>
    <xf numFmtId="0" fontId="23" fillId="0" borderId="0"/>
    <xf numFmtId="0" fontId="23" fillId="0" borderId="0"/>
    <xf numFmtId="0" fontId="23" fillId="0" borderId="0"/>
    <xf numFmtId="0" fontId="49" fillId="0" borderId="0"/>
    <xf numFmtId="0" fontId="23" fillId="0" borderId="0"/>
    <xf numFmtId="0" fontId="1" fillId="0" borderId="0"/>
    <xf numFmtId="0" fontId="49" fillId="0" borderId="0"/>
    <xf numFmtId="172" fontId="23" fillId="0" borderId="0"/>
    <xf numFmtId="0" fontId="23" fillId="0" borderId="0"/>
    <xf numFmtId="0" fontId="49" fillId="0" borderId="0"/>
    <xf numFmtId="0" fontId="49" fillId="0" borderId="0"/>
    <xf numFmtId="0" fontId="49" fillId="0" borderId="0"/>
    <xf numFmtId="0" fontId="23" fillId="0" borderId="0"/>
    <xf numFmtId="0" fontId="23" fillId="0" borderId="0"/>
    <xf numFmtId="0" fontId="1" fillId="0" borderId="0"/>
    <xf numFmtId="0" fontId="1" fillId="0" borderId="0"/>
    <xf numFmtId="0" fontId="1" fillId="0" borderId="0"/>
    <xf numFmtId="0" fontId="23" fillId="0" borderId="0"/>
    <xf numFmtId="0" fontId="23"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applyNumberFormat="0" applyFont="0" applyBorder="0" applyProtection="0"/>
    <xf numFmtId="0" fontId="48" fillId="0" borderId="0" applyNumberFormat="0" applyFont="0" applyBorder="0" applyProtection="0"/>
    <xf numFmtId="0" fontId="48" fillId="0" borderId="0" applyNumberFormat="0" applyFont="0" applyBorder="0" applyProtection="0"/>
    <xf numFmtId="0" fontId="48" fillId="0" borderId="0" applyNumberFormat="0" applyFont="0" applyBorder="0" applyProtection="0"/>
    <xf numFmtId="0" fontId="48" fillId="0" borderId="0" applyNumberFormat="0" applyFont="0" applyBorder="0" applyProtection="0"/>
    <xf numFmtId="0" fontId="48" fillId="0" borderId="0" applyNumberFormat="0" applyFont="0" applyBorder="0" applyProtection="0"/>
    <xf numFmtId="0" fontId="48" fillId="0" borderId="0" applyNumberFormat="0" applyFont="0" applyBorder="0" applyProtection="0"/>
    <xf numFmtId="0" fontId="1" fillId="0" borderId="0"/>
    <xf numFmtId="0" fontId="23" fillId="0" borderId="0"/>
    <xf numFmtId="0" fontId="23" fillId="0" borderId="0"/>
    <xf numFmtId="0" fontId="49" fillId="0" borderId="0"/>
    <xf numFmtId="0" fontId="49" fillId="0" borderId="0"/>
    <xf numFmtId="0" fontId="23" fillId="0" borderId="0"/>
    <xf numFmtId="0" fontId="49" fillId="0" borderId="0"/>
    <xf numFmtId="0" fontId="49" fillId="0" borderId="0"/>
    <xf numFmtId="0" fontId="1" fillId="0" borderId="0"/>
    <xf numFmtId="0" fontId="1" fillId="0" borderId="0"/>
    <xf numFmtId="0" fontId="1" fillId="0" borderId="0"/>
    <xf numFmtId="0" fontId="1" fillId="0" borderId="0"/>
    <xf numFmtId="0" fontId="1"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48" fillId="0" borderId="0"/>
    <xf numFmtId="0" fontId="49" fillId="0" borderId="0"/>
    <xf numFmtId="0" fontId="49"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0" borderId="0"/>
    <xf numFmtId="0" fontId="49" fillId="0" borderId="0"/>
    <xf numFmtId="0" fontId="49" fillId="0" borderId="0"/>
    <xf numFmtId="0" fontId="52" fillId="0" borderId="0"/>
    <xf numFmtId="0" fontId="1" fillId="0" borderId="0"/>
    <xf numFmtId="0" fontId="23" fillId="0" borderId="0"/>
    <xf numFmtId="0" fontId="23" fillId="0" borderId="0"/>
    <xf numFmtId="0" fontId="23" fillId="0" borderId="0"/>
    <xf numFmtId="0" fontId="23" fillId="0" borderId="0"/>
    <xf numFmtId="0" fontId="51" fillId="0" borderId="0"/>
    <xf numFmtId="0" fontId="55" fillId="0" borderId="0" applyFill="0" applyProtection="0"/>
    <xf numFmtId="0" fontId="23" fillId="0" borderId="0"/>
    <xf numFmtId="0" fontId="23" fillId="0" borderId="0"/>
    <xf numFmtId="0" fontId="23" fillId="0" borderId="0"/>
    <xf numFmtId="0" fontId="23" fillId="0" borderId="0"/>
    <xf numFmtId="0" fontId="23" fillId="0" borderId="0"/>
    <xf numFmtId="0" fontId="56" fillId="0" borderId="0"/>
    <xf numFmtId="0" fontId="49" fillId="0" borderId="0"/>
    <xf numFmtId="0" fontId="23" fillId="0" borderId="0"/>
    <xf numFmtId="0" fontId="49" fillId="0" borderId="0"/>
    <xf numFmtId="0" fontId="49" fillId="0" borderId="0"/>
    <xf numFmtId="0" fontId="49"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23" fillId="0" borderId="0"/>
    <xf numFmtId="0" fontId="49"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49" fillId="0" borderId="0"/>
    <xf numFmtId="0" fontId="23" fillId="0" borderId="0"/>
    <xf numFmtId="0" fontId="23" fillId="0" borderId="0"/>
    <xf numFmtId="0" fontId="49" fillId="0" borderId="0"/>
    <xf numFmtId="0" fontId="49" fillId="0" borderId="0"/>
    <xf numFmtId="0" fontId="23" fillId="0" borderId="0"/>
    <xf numFmtId="0" fontId="23" fillId="0" borderId="0"/>
    <xf numFmtId="0" fontId="49" fillId="0" borderId="0"/>
    <xf numFmtId="0" fontId="23"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1" fillId="0" borderId="0"/>
    <xf numFmtId="9" fontId="49" fillId="0" borderId="0" applyFont="0" applyFill="0" applyBorder="0" applyAlignment="0" applyProtection="0"/>
    <xf numFmtId="9" fontId="23" fillId="0" borderId="0" applyFont="0" applyFill="0" applyBorder="0" applyAlignment="0" applyProtection="0"/>
    <xf numFmtId="9" fontId="49" fillId="0" borderId="0" applyFont="0" applyFill="0" applyBorder="0" applyAlignment="0" applyProtection="0"/>
    <xf numFmtId="9" fontId="23" fillId="0" borderId="0" applyFont="0" applyFill="0" applyBorder="0" applyAlignment="0" applyProtection="0"/>
    <xf numFmtId="9" fontId="49"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23"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9" fillId="0" borderId="0" applyFont="0" applyFill="0" applyBorder="0" applyAlignment="0" applyProtection="0"/>
    <xf numFmtId="9" fontId="1" fillId="0" borderId="0" applyFont="0" applyFill="0" applyBorder="0" applyAlignment="0" applyProtection="0"/>
    <xf numFmtId="9" fontId="49" fillId="0" borderId="0" applyFont="0" applyFill="0" applyBorder="0" applyAlignment="0" applyProtection="0"/>
    <xf numFmtId="9" fontId="23" fillId="0" borderId="0" applyFont="0" applyFill="0" applyBorder="0" applyAlignment="0" applyProtection="0"/>
    <xf numFmtId="179" fontId="48" fillId="0" borderId="0" applyFont="0" applyFill="0" applyBorder="0" applyAlignment="0" applyProtection="0"/>
  </cellStyleXfs>
  <cellXfs count="188">
    <xf numFmtId="0" fontId="0" fillId="0" borderId="0" xfId="0"/>
    <xf numFmtId="0" fontId="3" fillId="3" borderId="0" xfId="0" applyFont="1" applyFill="1" applyAlignment="1">
      <alignment horizontal="center" vertical="center" wrapText="1" readingOrder="2"/>
    </xf>
    <xf numFmtId="0" fontId="4" fillId="2" borderId="0" xfId="0" applyFont="1" applyFill="1" applyAlignment="1">
      <alignment horizontal="center" vertical="center"/>
    </xf>
    <xf numFmtId="0" fontId="4" fillId="2" borderId="1" xfId="0" applyFont="1" applyFill="1" applyBorder="1" applyAlignment="1">
      <alignment horizontal="center" vertical="center"/>
    </xf>
    <xf numFmtId="0" fontId="5" fillId="2" borderId="0" xfId="0" applyFont="1" applyFill="1"/>
    <xf numFmtId="0" fontId="6" fillId="4" borderId="2" xfId="0" applyFont="1" applyFill="1" applyBorder="1" applyAlignment="1">
      <alignment horizontal="center" vertical="center" wrapText="1" readingOrder="2"/>
    </xf>
    <xf numFmtId="164" fontId="6" fillId="4" borderId="2" xfId="1" applyFont="1" applyFill="1" applyBorder="1" applyAlignment="1">
      <alignment horizontal="center" vertical="center" wrapText="1" readingOrder="2"/>
    </xf>
    <xf numFmtId="0" fontId="6" fillId="5" borderId="2" xfId="0" applyFont="1" applyFill="1" applyBorder="1" applyAlignment="1">
      <alignment horizontal="center" vertical="center" wrapText="1" readingOrder="2"/>
    </xf>
    <xf numFmtId="0" fontId="7" fillId="3" borderId="3" xfId="0" applyFont="1" applyFill="1" applyBorder="1" applyAlignment="1">
      <alignment horizontal="center" vertical="center" wrapText="1" readingOrder="2"/>
    </xf>
    <xf numFmtId="0" fontId="8" fillId="2" borderId="0" xfId="0" applyFont="1" applyFill="1" applyAlignment="1">
      <alignment horizontal="center" vertical="center"/>
    </xf>
    <xf numFmtId="0" fontId="9" fillId="0" borderId="4" xfId="0" applyFont="1" applyBorder="1" applyAlignment="1">
      <alignment horizontal="center" vertical="center"/>
    </xf>
    <xf numFmtId="0" fontId="10" fillId="4" borderId="4"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2" borderId="4" xfId="0" applyFont="1" applyFill="1" applyBorder="1" applyAlignment="1">
      <alignment horizontal="center" vertical="center" wrapText="1"/>
    </xf>
    <xf numFmtId="164" fontId="9" fillId="0" borderId="4" xfId="1" applyFont="1" applyFill="1" applyBorder="1" applyAlignment="1">
      <alignment horizontal="center" vertical="center" wrapText="1"/>
    </xf>
    <xf numFmtId="164" fontId="12" fillId="2" borderId="4" xfId="1" applyFont="1" applyFill="1" applyBorder="1" applyAlignment="1">
      <alignment horizontal="center" vertical="center" wrapText="1"/>
    </xf>
    <xf numFmtId="164" fontId="7" fillId="2" borderId="4" xfId="1" applyFont="1" applyFill="1" applyBorder="1" applyAlignment="1">
      <alignment horizontal="center" vertical="center" wrapText="1"/>
    </xf>
    <xf numFmtId="164" fontId="7" fillId="0" borderId="4" xfId="1" applyFont="1" applyFill="1" applyBorder="1" applyAlignment="1">
      <alignment horizontal="center" vertical="center" wrapText="1"/>
    </xf>
    <xf numFmtId="0" fontId="13" fillId="2" borderId="4" xfId="0" applyFont="1" applyFill="1" applyBorder="1" applyAlignment="1">
      <alignment horizontal="center" vertical="center" wrapText="1" readingOrder="2"/>
    </xf>
    <xf numFmtId="164" fontId="7" fillId="2" borderId="4" xfId="1" applyFont="1" applyFill="1" applyBorder="1" applyAlignment="1">
      <alignment horizontal="center" vertical="center" wrapText="1" readingOrder="2"/>
    </xf>
    <xf numFmtId="14" fontId="7" fillId="2" borderId="4" xfId="0" applyNumberFormat="1" applyFont="1" applyFill="1" applyBorder="1" applyAlignment="1">
      <alignment horizontal="center" vertical="center" wrapText="1" readingOrder="2"/>
    </xf>
    <xf numFmtId="9" fontId="7" fillId="2" borderId="4" xfId="2" applyFont="1" applyFill="1" applyBorder="1" applyAlignment="1">
      <alignment horizontal="center" vertical="center" wrapText="1" readingOrder="2"/>
    </xf>
    <xf numFmtId="9" fontId="7" fillId="0" borderId="4" xfId="2" applyFont="1" applyFill="1" applyBorder="1" applyAlignment="1">
      <alignment horizontal="center" vertical="center" wrapText="1" readingOrder="2"/>
    </xf>
    <xf numFmtId="0" fontId="6" fillId="0" borderId="4" xfId="0" applyFont="1" applyBorder="1"/>
    <xf numFmtId="0" fontId="7" fillId="4" borderId="4" xfId="0" applyFont="1" applyFill="1" applyBorder="1" applyAlignment="1">
      <alignment horizontal="center" vertical="center"/>
    </xf>
    <xf numFmtId="0" fontId="14" fillId="2" borderId="3" xfId="0" applyFont="1" applyFill="1" applyBorder="1" applyAlignment="1">
      <alignment horizontal="center" vertical="center" wrapText="1"/>
    </xf>
    <xf numFmtId="0" fontId="11" fillId="0" borderId="4" xfId="0" applyFont="1" applyBorder="1" applyAlignment="1">
      <alignment horizontal="center" vertical="center" wrapText="1" readingOrder="2"/>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15" fillId="0" borderId="0" xfId="0" applyFont="1"/>
    <xf numFmtId="164" fontId="13" fillId="0" borderId="4" xfId="1" applyFont="1" applyFill="1" applyBorder="1" applyAlignment="1">
      <alignment horizontal="center" vertical="center" wrapText="1"/>
    </xf>
    <xf numFmtId="0" fontId="7" fillId="4" borderId="4" xfId="0" applyFont="1" applyFill="1" applyBorder="1" applyAlignment="1">
      <alignment horizontal="center" vertical="center" wrapText="1"/>
    </xf>
    <xf numFmtId="0" fontId="14" fillId="0" borderId="4" xfId="0" applyFont="1" applyBorder="1" applyAlignment="1">
      <alignment horizontal="center" vertical="center" wrapText="1" readingOrder="2"/>
    </xf>
    <xf numFmtId="0" fontId="16" fillId="0" borderId="4" xfId="0" applyFont="1" applyBorder="1" applyAlignment="1">
      <alignment horizontal="center" vertical="center" wrapText="1" readingOrder="2"/>
    </xf>
    <xf numFmtId="0" fontId="11" fillId="0" borderId="4" xfId="0" applyFont="1" applyBorder="1" applyAlignment="1">
      <alignment horizontal="center" vertical="center"/>
    </xf>
    <xf numFmtId="0" fontId="11" fillId="0" borderId="5" xfId="0" applyFont="1" applyBorder="1" applyAlignment="1">
      <alignment horizontal="center" vertical="center"/>
    </xf>
    <xf numFmtId="164" fontId="17" fillId="0" borderId="4" xfId="1" applyFont="1" applyFill="1" applyBorder="1" applyAlignment="1">
      <alignment horizontal="center" vertical="center" wrapText="1"/>
    </xf>
    <xf numFmtId="0" fontId="14" fillId="2" borderId="8" xfId="0" applyFont="1" applyFill="1" applyBorder="1" applyAlignment="1">
      <alignment horizontal="center" vertical="center" wrapText="1"/>
    </xf>
    <xf numFmtId="0" fontId="11" fillId="0" borderId="7" xfId="0" applyFont="1" applyBorder="1" applyAlignment="1">
      <alignment horizontal="center" vertical="center" wrapText="1" readingOrder="2"/>
    </xf>
    <xf numFmtId="164" fontId="19" fillId="0" borderId="4" xfId="1" applyFont="1" applyFill="1" applyBorder="1" applyAlignment="1">
      <alignment horizontal="center" vertical="center" wrapText="1"/>
    </xf>
    <xf numFmtId="0" fontId="7" fillId="2" borderId="4" xfId="0" applyFont="1" applyFill="1" applyBorder="1" applyAlignment="1">
      <alignment horizontal="center" vertical="center" wrapText="1" readingOrder="2"/>
    </xf>
    <xf numFmtId="14" fontId="7" fillId="2" borderId="4" xfId="0" applyNumberFormat="1" applyFont="1" applyFill="1" applyBorder="1" applyAlignment="1">
      <alignment horizontal="center" vertical="center" wrapText="1"/>
    </xf>
    <xf numFmtId="9" fontId="6" fillId="0" borderId="4" xfId="2" applyFont="1" applyFill="1" applyBorder="1" applyAlignment="1">
      <alignment horizontal="center" vertical="center" wrapText="1" readingOrder="2"/>
    </xf>
    <xf numFmtId="0" fontId="14" fillId="0" borderId="4" xfId="0" applyFont="1" applyBorder="1" applyAlignment="1">
      <alignment horizontal="center" vertical="center" wrapText="1"/>
    </xf>
    <xf numFmtId="0" fontId="8" fillId="0" borderId="0" xfId="0" applyFont="1"/>
    <xf numFmtId="164" fontId="20" fillId="0" borderId="4" xfId="1" applyFont="1" applyFill="1" applyBorder="1" applyAlignment="1">
      <alignment horizontal="center" vertical="center" wrapText="1"/>
    </xf>
    <xf numFmtId="0" fontId="14" fillId="2" borderId="4" xfId="0" applyFont="1" applyFill="1" applyBorder="1" applyAlignment="1">
      <alignment horizontal="center" vertical="center" wrapText="1"/>
    </xf>
    <xf numFmtId="4" fontId="11" fillId="2" borderId="4" xfId="1" applyNumberFormat="1" applyFont="1" applyFill="1" applyBorder="1" applyAlignment="1">
      <alignment horizontal="center" vertical="center" wrapText="1" readingOrder="1"/>
    </xf>
    <xf numFmtId="0" fontId="14" fillId="6" borderId="4" xfId="0" applyFont="1" applyFill="1" applyBorder="1" applyAlignment="1">
      <alignment horizontal="center" vertical="center" wrapText="1"/>
    </xf>
    <xf numFmtId="0" fontId="11" fillId="0" borderId="4" xfId="0" applyFont="1" applyBorder="1" applyAlignment="1">
      <alignment horizontal="center" vertical="center" wrapText="1"/>
    </xf>
    <xf numFmtId="9" fontId="6" fillId="0" borderId="4" xfId="0" applyNumberFormat="1" applyFont="1" applyBorder="1" applyAlignment="1">
      <alignment horizontal="center" vertical="center" wrapText="1" readingOrder="2"/>
    </xf>
    <xf numFmtId="0" fontId="7" fillId="3" borderId="4" xfId="0" applyFont="1" applyFill="1" applyBorder="1" applyAlignment="1">
      <alignment horizontal="center" vertical="center"/>
    </xf>
    <xf numFmtId="0" fontId="14" fillId="3" borderId="4" xfId="0" applyFont="1" applyFill="1" applyBorder="1" applyAlignment="1">
      <alignment horizontal="center" vertical="center" wrapText="1"/>
    </xf>
    <xf numFmtId="4" fontId="11" fillId="0" borderId="4" xfId="1" applyNumberFormat="1" applyFont="1" applyFill="1" applyBorder="1" applyAlignment="1">
      <alignment horizontal="center" vertical="center" wrapText="1" readingOrder="1"/>
    </xf>
    <xf numFmtId="0" fontId="13" fillId="0" borderId="4" xfId="0" applyFont="1" applyBorder="1" applyAlignment="1">
      <alignment horizontal="center" vertical="center" wrapText="1" readingOrder="2"/>
    </xf>
    <xf numFmtId="164" fontId="7" fillId="0" borderId="4" xfId="1" applyFont="1" applyFill="1" applyBorder="1" applyAlignment="1">
      <alignment horizontal="center" vertical="center" wrapText="1" readingOrder="2"/>
    </xf>
    <xf numFmtId="0" fontId="21" fillId="2" borderId="4" xfId="0" applyFont="1" applyFill="1" applyBorder="1" applyAlignment="1">
      <alignment horizontal="center" vertical="center" wrapText="1"/>
    </xf>
    <xf numFmtId="0" fontId="11" fillId="2" borderId="4" xfId="0" applyFont="1" applyFill="1" applyBorder="1" applyAlignment="1">
      <alignment horizontal="center" vertical="center" wrapText="1" readingOrder="2"/>
    </xf>
    <xf numFmtId="164" fontId="17" fillId="0" borderId="4" xfId="1" applyFont="1" applyFill="1" applyBorder="1" applyAlignment="1">
      <alignment vertical="center" wrapText="1"/>
    </xf>
    <xf numFmtId="164" fontId="19" fillId="0" borderId="4" xfId="1" applyFont="1" applyFill="1" applyBorder="1" applyAlignment="1">
      <alignment vertical="center" wrapText="1"/>
    </xf>
    <xf numFmtId="0" fontId="22" fillId="3" borderId="4" xfId="0" applyFont="1" applyFill="1" applyBorder="1" applyAlignment="1">
      <alignment horizontal="center" vertical="center" wrapText="1"/>
    </xf>
    <xf numFmtId="0" fontId="8" fillId="3" borderId="5" xfId="0" applyFont="1" applyFill="1" applyBorder="1" applyAlignment="1">
      <alignment horizontal="center" vertical="center"/>
    </xf>
    <xf numFmtId="0" fontId="3" fillId="2" borderId="4" xfId="0" applyFont="1" applyFill="1" applyBorder="1" applyAlignment="1">
      <alignment horizontal="center" vertical="center" wrapText="1"/>
    </xf>
    <xf numFmtId="0" fontId="10" fillId="4" borderId="4" xfId="3" applyFont="1" applyFill="1" applyBorder="1" applyAlignment="1">
      <alignment horizontal="center" vertical="center" wrapText="1"/>
    </xf>
    <xf numFmtId="0" fontId="24" fillId="2" borderId="4" xfId="0" applyFont="1" applyFill="1" applyBorder="1" applyAlignment="1">
      <alignment horizontal="center" vertical="center" wrapText="1" readingOrder="2"/>
    </xf>
    <xf numFmtId="164" fontId="11" fillId="0" borderId="4" xfId="1" applyFont="1" applyFill="1" applyBorder="1" applyAlignment="1">
      <alignment horizontal="center" vertical="center" wrapText="1"/>
    </xf>
    <xf numFmtId="164" fontId="25" fillId="0" borderId="4" xfId="1" applyFont="1" applyFill="1" applyBorder="1" applyAlignment="1">
      <alignment horizontal="center" vertical="center" wrapText="1"/>
    </xf>
    <xf numFmtId="14" fontId="13" fillId="2" borderId="4" xfId="0" applyNumberFormat="1" applyFont="1" applyFill="1" applyBorder="1" applyAlignment="1">
      <alignment horizontal="center" vertical="center" wrapText="1" readingOrder="2"/>
    </xf>
    <xf numFmtId="0" fontId="25" fillId="2" borderId="4" xfId="0" applyFont="1" applyFill="1" applyBorder="1" applyAlignment="1">
      <alignment horizontal="center" vertical="center" wrapText="1" readingOrder="2"/>
    </xf>
    <xf numFmtId="164" fontId="26" fillId="0" borderId="4" xfId="1" applyFont="1" applyFill="1" applyBorder="1" applyAlignment="1">
      <alignment horizontal="center" vertical="center" wrapText="1"/>
    </xf>
    <xf numFmtId="164" fontId="25" fillId="2" borderId="4" xfId="1" applyFont="1" applyFill="1" applyBorder="1" applyAlignment="1">
      <alignment horizontal="center" vertical="center" wrapText="1"/>
    </xf>
    <xf numFmtId="0" fontId="14" fillId="7" borderId="4" xfId="0" applyFont="1" applyFill="1" applyBorder="1" applyAlignment="1">
      <alignment horizontal="center" vertical="center" wrapText="1"/>
    </xf>
    <xf numFmtId="9" fontId="6" fillId="2" borderId="4" xfId="0" applyNumberFormat="1" applyFont="1" applyFill="1" applyBorder="1" applyAlignment="1">
      <alignment horizontal="center" vertical="center" wrapText="1" readingOrder="2"/>
    </xf>
    <xf numFmtId="14" fontId="25" fillId="2" borderId="4" xfId="0" applyNumberFormat="1" applyFont="1" applyFill="1" applyBorder="1" applyAlignment="1">
      <alignment horizontal="center" vertical="center" wrapText="1" readingOrder="2"/>
    </xf>
    <xf numFmtId="0" fontId="21" fillId="0" borderId="4" xfId="0" applyFont="1" applyBorder="1" applyAlignment="1">
      <alignment horizontal="center" vertical="center" wrapText="1" readingOrder="2"/>
    </xf>
    <xf numFmtId="9" fontId="13" fillId="2" borderId="4" xfId="0" applyNumberFormat="1" applyFont="1" applyFill="1" applyBorder="1" applyAlignment="1">
      <alignment horizontal="center" vertical="center" wrapText="1" readingOrder="2"/>
    </xf>
    <xf numFmtId="9" fontId="7" fillId="2" borderId="4" xfId="0" applyNumberFormat="1" applyFont="1" applyFill="1" applyBorder="1" applyAlignment="1">
      <alignment horizontal="center" vertical="center" wrapText="1" readingOrder="2"/>
    </xf>
    <xf numFmtId="9" fontId="13" fillId="0" borderId="4" xfId="0" applyNumberFormat="1" applyFont="1" applyBorder="1" applyAlignment="1">
      <alignment horizontal="center" vertical="center" wrapText="1" readingOrder="2"/>
    </xf>
    <xf numFmtId="0" fontId="11" fillId="3" borderId="4" xfId="0" applyFont="1" applyFill="1" applyBorder="1" applyAlignment="1">
      <alignment horizontal="center" vertical="center" wrapText="1" readingOrder="2"/>
    </xf>
    <xf numFmtId="0" fontId="22" fillId="3" borderId="4" xfId="0" applyFont="1" applyFill="1" applyBorder="1" applyAlignment="1">
      <alignment horizontal="center" vertical="center" wrapText="1" readingOrder="2"/>
    </xf>
    <xf numFmtId="14" fontId="6" fillId="2" borderId="4" xfId="0" applyNumberFormat="1" applyFont="1" applyFill="1" applyBorder="1" applyAlignment="1">
      <alignment horizontal="center" vertical="center" wrapText="1" readingOrder="2"/>
    </xf>
    <xf numFmtId="9" fontId="6" fillId="2" borderId="4" xfId="2" applyFont="1" applyFill="1" applyBorder="1" applyAlignment="1">
      <alignment horizontal="center" vertical="center" wrapText="1" readingOrder="2"/>
    </xf>
    <xf numFmtId="0" fontId="6" fillId="4" borderId="4" xfId="0" applyFont="1" applyFill="1" applyBorder="1" applyAlignment="1">
      <alignment horizontal="center" vertical="center"/>
    </xf>
    <xf numFmtId="0" fontId="16" fillId="0" borderId="4" xfId="0" applyFont="1" applyBorder="1" applyAlignment="1">
      <alignment horizontal="center" vertical="center" wrapText="1"/>
    </xf>
    <xf numFmtId="0" fontId="7" fillId="0" borderId="4" xfId="0" applyFont="1" applyBorder="1" applyAlignment="1">
      <alignment horizontal="center" vertical="center" wrapText="1"/>
    </xf>
    <xf numFmtId="0" fontId="11" fillId="0" borderId="9" xfId="0" applyFont="1" applyBorder="1" applyAlignment="1">
      <alignment horizontal="center" vertical="center" wrapText="1" readingOrder="2"/>
    </xf>
    <xf numFmtId="0" fontId="7" fillId="8" borderId="4" xfId="0" applyFont="1" applyFill="1" applyBorder="1" applyAlignment="1">
      <alignment horizontal="center" vertical="center"/>
    </xf>
    <xf numFmtId="0" fontId="14" fillId="8" borderId="4" xfId="0" applyFont="1" applyFill="1" applyBorder="1" applyAlignment="1">
      <alignment horizontal="center" vertical="center" wrapText="1"/>
    </xf>
    <xf numFmtId="0" fontId="11" fillId="8" borderId="4" xfId="0" applyFont="1" applyFill="1" applyBorder="1" applyAlignment="1">
      <alignment horizontal="center" vertical="center" wrapText="1" readingOrder="2"/>
    </xf>
    <xf numFmtId="0" fontId="7" fillId="0" borderId="4" xfId="0" applyFont="1" applyBorder="1" applyAlignment="1">
      <alignment horizontal="center" vertical="center"/>
    </xf>
    <xf numFmtId="0" fontId="15" fillId="2" borderId="0" xfId="0" applyFont="1" applyFill="1"/>
    <xf numFmtId="164" fontId="25" fillId="2" borderId="4" xfId="1" applyFont="1" applyFill="1" applyBorder="1" applyAlignment="1">
      <alignment horizontal="center" vertical="center" wrapText="1" readingOrder="2"/>
    </xf>
    <xf numFmtId="9" fontId="7" fillId="0" borderId="4" xfId="0" applyNumberFormat="1" applyFont="1" applyBorder="1" applyAlignment="1">
      <alignment horizontal="center" vertical="center" wrapText="1" readingOrder="2"/>
    </xf>
    <xf numFmtId="0" fontId="9" fillId="2" borderId="4" xfId="0" applyFont="1" applyFill="1" applyBorder="1" applyAlignment="1">
      <alignment horizontal="center" vertical="center"/>
    </xf>
    <xf numFmtId="164" fontId="9" fillId="2" borderId="4" xfId="1" applyFont="1" applyFill="1" applyBorder="1" applyAlignment="1">
      <alignment horizontal="center" vertical="center" wrapText="1"/>
    </xf>
    <xf numFmtId="0" fontId="15" fillId="9" borderId="0" xfId="0" applyFont="1" applyFill="1"/>
    <xf numFmtId="0" fontId="27" fillId="0" borderId="4" xfId="0" applyFont="1" applyBorder="1" applyAlignment="1">
      <alignment horizontal="center" vertical="center" wrapText="1" readingOrder="2"/>
    </xf>
    <xf numFmtId="0" fontId="28" fillId="2" borderId="3" xfId="0" applyFont="1" applyFill="1" applyBorder="1" applyAlignment="1">
      <alignment horizontal="center" vertical="center" readingOrder="2"/>
    </xf>
    <xf numFmtId="0" fontId="8" fillId="2" borderId="4" xfId="0" applyFont="1" applyFill="1" applyBorder="1" applyAlignment="1">
      <alignment horizontal="center" vertical="center" wrapText="1"/>
    </xf>
    <xf numFmtId="164" fontId="30" fillId="2" borderId="4" xfId="1" applyFont="1" applyFill="1" applyBorder="1" applyAlignment="1">
      <alignment horizontal="center" vertical="center" wrapText="1"/>
    </xf>
    <xf numFmtId="164" fontId="6" fillId="2" borderId="4" xfId="1" applyFont="1" applyFill="1" applyBorder="1" applyAlignment="1">
      <alignment horizontal="center" vertical="center" wrapText="1"/>
    </xf>
    <xf numFmtId="164" fontId="6" fillId="0" borderId="4" xfId="1" applyFont="1" applyFill="1" applyBorder="1" applyAlignment="1">
      <alignment horizontal="center" vertical="center" wrapText="1" readingOrder="2"/>
    </xf>
    <xf numFmtId="0" fontId="6" fillId="2" borderId="4" xfId="0" applyFont="1" applyFill="1" applyBorder="1" applyAlignment="1">
      <alignment horizontal="center" vertical="center"/>
    </xf>
    <xf numFmtId="0" fontId="8" fillId="4" borderId="4" xfId="0" applyFont="1" applyFill="1" applyBorder="1" applyAlignment="1">
      <alignment horizontal="center" vertical="center" wrapText="1"/>
    </xf>
    <xf numFmtId="164" fontId="30" fillId="0" borderId="4" xfId="1" applyFont="1" applyFill="1" applyBorder="1" applyAlignment="1">
      <alignment horizontal="center" vertical="center" wrapText="1"/>
    </xf>
    <xf numFmtId="164" fontId="6" fillId="0" borderId="4" xfId="1" applyFont="1" applyFill="1" applyBorder="1" applyAlignment="1">
      <alignment horizontal="center" vertical="center" wrapText="1"/>
    </xf>
    <xf numFmtId="0" fontId="6" fillId="0" borderId="4" xfId="0" applyFont="1" applyBorder="1" applyAlignment="1">
      <alignment horizontal="center" vertical="center"/>
    </xf>
    <xf numFmtId="0" fontId="29" fillId="4" borderId="4" xfId="0" applyFont="1" applyFill="1" applyBorder="1" applyAlignment="1">
      <alignment horizontal="center" vertical="center" wrapText="1"/>
    </xf>
    <xf numFmtId="0" fontId="8" fillId="0" borderId="4" xfId="0" applyFont="1" applyBorder="1" applyAlignment="1">
      <alignment horizontal="center" vertical="center" wrapText="1"/>
    </xf>
    <xf numFmtId="164" fontId="31" fillId="0" borderId="4" xfId="1" applyFont="1" applyFill="1" applyBorder="1" applyAlignment="1">
      <alignment horizontal="center" vertical="center" wrapText="1"/>
    </xf>
    <xf numFmtId="164" fontId="32" fillId="2" borderId="4" xfId="1" applyFont="1" applyFill="1" applyBorder="1" applyAlignment="1">
      <alignment horizontal="center" vertical="center" wrapText="1"/>
    </xf>
    <xf numFmtId="0" fontId="33" fillId="0" borderId="4" xfId="0" applyFont="1" applyBorder="1" applyAlignment="1">
      <alignment horizontal="center" vertical="center" wrapText="1" readingOrder="2"/>
    </xf>
    <xf numFmtId="0" fontId="11" fillId="4" borderId="10" xfId="0" applyFont="1" applyFill="1" applyBorder="1" applyAlignment="1">
      <alignment horizontal="center" vertical="center" wrapText="1"/>
    </xf>
    <xf numFmtId="0" fontId="11" fillId="2" borderId="10" xfId="0" applyFont="1" applyFill="1" applyBorder="1" applyAlignment="1">
      <alignment horizontal="center" vertical="center" wrapText="1"/>
    </xf>
    <xf numFmtId="164" fontId="9" fillId="0" borderId="4" xfId="1" applyFont="1" applyFill="1" applyBorder="1" applyAlignment="1">
      <alignment vertical="center" wrapText="1"/>
    </xf>
    <xf numFmtId="164" fontId="7" fillId="2" borderId="10" xfId="1" applyFont="1" applyFill="1" applyBorder="1" applyAlignment="1">
      <alignment vertical="center" wrapText="1"/>
    </xf>
    <xf numFmtId="0" fontId="14" fillId="2" borderId="10" xfId="0" applyFont="1" applyFill="1" applyBorder="1" applyAlignment="1">
      <alignment horizontal="center" vertical="center" wrapText="1" readingOrder="2"/>
    </xf>
    <xf numFmtId="0" fontId="8" fillId="0" borderId="10" xfId="0" applyFont="1" applyBorder="1" applyAlignment="1">
      <alignment horizontal="center" vertical="center"/>
    </xf>
    <xf numFmtId="164" fontId="7" fillId="2" borderId="11" xfId="1" applyFont="1" applyFill="1" applyBorder="1" applyAlignment="1">
      <alignment vertical="center" wrapText="1"/>
    </xf>
    <xf numFmtId="0" fontId="8" fillId="0" borderId="0" xfId="0" applyFont="1" applyAlignment="1">
      <alignment horizontal="center" vertical="center"/>
    </xf>
    <xf numFmtId="0" fontId="13" fillId="2" borderId="4" xfId="0" applyFont="1" applyFill="1" applyBorder="1" applyAlignment="1">
      <alignment horizontal="center" vertical="center" wrapText="1"/>
    </xf>
    <xf numFmtId="9" fontId="25" fillId="2" borderId="4" xfId="0" applyNumberFormat="1" applyFont="1" applyFill="1" applyBorder="1" applyAlignment="1">
      <alignment horizontal="center" vertical="center" wrapText="1" readingOrder="2"/>
    </xf>
    <xf numFmtId="0" fontId="34" fillId="0" borderId="0" xfId="0" applyFont="1"/>
    <xf numFmtId="0" fontId="8" fillId="2" borderId="4" xfId="0" applyFont="1" applyFill="1" applyBorder="1" applyAlignment="1">
      <alignment horizontal="center" vertical="center"/>
    </xf>
    <xf numFmtId="0" fontId="7" fillId="2" borderId="4" xfId="0" applyFont="1" applyFill="1" applyBorder="1" applyAlignment="1">
      <alignment horizontal="center" vertical="center" wrapText="1"/>
    </xf>
    <xf numFmtId="0" fontId="8" fillId="2" borderId="5" xfId="0" applyFont="1" applyFill="1" applyBorder="1" applyAlignment="1">
      <alignment horizontal="center" vertical="center"/>
    </xf>
    <xf numFmtId="0" fontId="14" fillId="0" borderId="3" xfId="0" applyFont="1" applyBorder="1" applyAlignment="1">
      <alignment horizontal="center" vertical="center" wrapText="1"/>
    </xf>
    <xf numFmtId="164" fontId="17" fillId="2" borderId="4" xfId="1" applyFont="1" applyFill="1" applyBorder="1" applyAlignment="1">
      <alignment horizontal="center" vertical="center" wrapText="1"/>
    </xf>
    <xf numFmtId="9" fontId="7" fillId="2" borderId="4" xfId="0" applyNumberFormat="1" applyFont="1" applyFill="1" applyBorder="1" applyAlignment="1">
      <alignment horizontal="center" vertical="center" wrapText="1" readingOrder="1"/>
    </xf>
    <xf numFmtId="0" fontId="14" fillId="0" borderId="4" xfId="0" applyFont="1" applyBorder="1" applyAlignment="1">
      <alignment horizontal="center" vertical="center"/>
    </xf>
    <xf numFmtId="164" fontId="19" fillId="2" borderId="4" xfId="1" applyFont="1" applyFill="1" applyBorder="1" applyAlignment="1">
      <alignment horizontal="center" vertical="center" wrapText="1"/>
    </xf>
    <xf numFmtId="0" fontId="7" fillId="0" borderId="4" xfId="0" applyFont="1" applyBorder="1" applyAlignment="1">
      <alignment horizontal="center" vertical="center" wrapText="1" readingOrder="2"/>
    </xf>
    <xf numFmtId="14" fontId="7" fillId="7" borderId="4" xfId="0" applyNumberFormat="1" applyFont="1" applyFill="1" applyBorder="1" applyAlignment="1">
      <alignment horizontal="center" vertical="center" wrapText="1" readingOrder="2"/>
    </xf>
    <xf numFmtId="0" fontId="9" fillId="2" borderId="10" xfId="0" applyFont="1" applyFill="1" applyBorder="1" applyAlignment="1">
      <alignment horizontal="center" vertical="center"/>
    </xf>
    <xf numFmtId="0" fontId="10" fillId="4" borderId="10" xfId="0" applyFont="1" applyFill="1" applyBorder="1" applyAlignment="1">
      <alignment horizontal="center" vertical="center" wrapText="1"/>
    </xf>
    <xf numFmtId="0" fontId="35" fillId="4" borderId="14" xfId="0" applyFont="1" applyFill="1" applyBorder="1" applyAlignment="1">
      <alignment horizontal="center" vertical="center"/>
    </xf>
    <xf numFmtId="0" fontId="36" fillId="4" borderId="14" xfId="0" applyFont="1" applyFill="1" applyBorder="1" applyAlignment="1">
      <alignment horizontal="center" vertical="center"/>
    </xf>
    <xf numFmtId="0" fontId="37" fillId="4" borderId="7" xfId="0" applyFont="1" applyFill="1" applyBorder="1" applyAlignment="1">
      <alignment horizontal="center" vertical="center"/>
    </xf>
    <xf numFmtId="164" fontId="31" fillId="4" borderId="4" xfId="1" applyFont="1" applyFill="1" applyBorder="1" applyAlignment="1">
      <alignment horizontal="right" vertical="center" readingOrder="2"/>
    </xf>
    <xf numFmtId="164" fontId="32" fillId="4" borderId="4" xfId="1" applyFont="1" applyFill="1" applyBorder="1" applyAlignment="1">
      <alignment horizontal="center" vertical="center" readingOrder="2"/>
    </xf>
    <xf numFmtId="164" fontId="32" fillId="4" borderId="4" xfId="1" applyFont="1" applyFill="1" applyBorder="1" applyAlignment="1">
      <alignment horizontal="center" vertical="center"/>
    </xf>
    <xf numFmtId="164" fontId="38" fillId="4" borderId="6" xfId="1" applyFont="1" applyFill="1" applyBorder="1" applyAlignment="1">
      <alignment vertical="center"/>
    </xf>
    <xf numFmtId="164" fontId="8" fillId="4" borderId="15" xfId="1" applyFont="1" applyFill="1" applyBorder="1" applyAlignment="1">
      <alignment vertical="center"/>
    </xf>
    <xf numFmtId="164" fontId="8" fillId="4" borderId="15" xfId="1" applyFont="1" applyFill="1" applyBorder="1" applyAlignment="1">
      <alignment horizontal="center" vertical="center"/>
    </xf>
    <xf numFmtId="164" fontId="39" fillId="4" borderId="7" xfId="1" applyFont="1" applyFill="1" applyBorder="1" applyAlignment="1">
      <alignment vertical="center"/>
    </xf>
    <xf numFmtId="0" fontId="8" fillId="2" borderId="0" xfId="0" applyFont="1" applyFill="1"/>
    <xf numFmtId="0" fontId="5" fillId="2" borderId="0" xfId="0" applyFont="1" applyFill="1" applyAlignment="1">
      <alignment horizontal="center" vertical="center"/>
    </xf>
    <xf numFmtId="0" fontId="40" fillId="2" borderId="0" xfId="0" applyFont="1" applyFill="1" applyAlignment="1">
      <alignment vertical="center"/>
    </xf>
    <xf numFmtId="0" fontId="41" fillId="4" borderId="0" xfId="0" applyFont="1" applyFill="1"/>
    <xf numFmtId="0" fontId="41" fillId="2" borderId="0" xfId="0" applyFont="1" applyFill="1"/>
    <xf numFmtId="0" fontId="41" fillId="2" borderId="0" xfId="0" applyFont="1" applyFill="1" applyAlignment="1">
      <alignment wrapText="1"/>
    </xf>
    <xf numFmtId="164" fontId="41" fillId="2" borderId="0" xfId="1" applyFont="1" applyFill="1" applyBorder="1" applyAlignment="1">
      <alignment horizontal="center" vertical="center"/>
    </xf>
    <xf numFmtId="0" fontId="38" fillId="2" borderId="0" xfId="0" applyFont="1" applyFill="1" applyAlignment="1">
      <alignment horizontal="center" vertical="center"/>
    </xf>
    <xf numFmtId="164" fontId="41" fillId="2" borderId="0" xfId="1" applyFont="1" applyFill="1" applyBorder="1"/>
    <xf numFmtId="0" fontId="42" fillId="4" borderId="0" xfId="0" applyFont="1" applyFill="1" applyAlignment="1">
      <alignment horizontal="center" vertical="center"/>
    </xf>
    <xf numFmtId="0" fontId="43" fillId="2" borderId="0" xfId="0" applyFont="1" applyFill="1" applyAlignment="1">
      <alignment horizontal="center"/>
    </xf>
    <xf numFmtId="0" fontId="44" fillId="3" borderId="0" xfId="0" applyFont="1" applyFill="1" applyAlignment="1">
      <alignment horizontal="center" vertical="center" wrapText="1" readingOrder="2"/>
    </xf>
    <xf numFmtId="0" fontId="42" fillId="2" borderId="0" xfId="0" applyFont="1" applyFill="1" applyAlignment="1">
      <alignment horizontal="center" vertical="center"/>
    </xf>
    <xf numFmtId="0" fontId="42" fillId="2" borderId="16" xfId="0" applyFont="1" applyFill="1" applyBorder="1" applyAlignment="1">
      <alignment horizontal="center" vertical="center"/>
    </xf>
    <xf numFmtId="0" fontId="36" fillId="2" borderId="0" xfId="0" applyFont="1" applyFill="1" applyAlignment="1">
      <alignment horizontal="center" vertical="center"/>
    </xf>
    <xf numFmtId="0" fontId="36" fillId="0" borderId="0" xfId="0" applyFont="1" applyAlignment="1">
      <alignment horizontal="center" vertical="center"/>
    </xf>
    <xf numFmtId="164" fontId="5" fillId="2" borderId="0" xfId="1" applyFont="1" applyFill="1" applyBorder="1" applyAlignment="1">
      <alignment horizontal="center" vertical="center"/>
    </xf>
    <xf numFmtId="0" fontId="36" fillId="2" borderId="0" xfId="0" applyFont="1" applyFill="1" applyAlignment="1">
      <alignment horizontal="center" vertical="center" wrapText="1"/>
    </xf>
    <xf numFmtId="0" fontId="42" fillId="2" borderId="1" xfId="0" applyFont="1" applyFill="1" applyBorder="1" applyAlignment="1">
      <alignment horizontal="center" vertical="center"/>
    </xf>
    <xf numFmtId="0" fontId="44" fillId="4" borderId="0" xfId="0" applyFont="1" applyFill="1" applyAlignment="1">
      <alignment horizontal="center" vertical="center"/>
    </xf>
    <xf numFmtId="164" fontId="45" fillId="0" borderId="0" xfId="1" applyFont="1" applyBorder="1" applyAlignment="1">
      <alignment horizontal="center" vertical="center"/>
    </xf>
    <xf numFmtId="0" fontId="46" fillId="3" borderId="0" xfId="0" applyFont="1" applyFill="1" applyAlignment="1">
      <alignment horizontal="center" vertical="center" wrapText="1" readingOrder="2"/>
    </xf>
    <xf numFmtId="164" fontId="43" fillId="2" borderId="0" xfId="1" applyFont="1" applyFill="1" applyBorder="1" applyAlignment="1">
      <alignment horizontal="center"/>
    </xf>
    <xf numFmtId="164" fontId="42" fillId="2" borderId="0" xfId="1" applyFont="1" applyFill="1" applyBorder="1" applyAlignment="1">
      <alignment horizontal="center" vertical="center"/>
    </xf>
    <xf numFmtId="0" fontId="38" fillId="10" borderId="0" xfId="0" applyFont="1" applyFill="1" applyAlignment="1">
      <alignment horizontal="center" vertical="center"/>
    </xf>
    <xf numFmtId="164" fontId="43" fillId="2" borderId="0" xfId="0" applyNumberFormat="1" applyFont="1" applyFill="1" applyAlignment="1">
      <alignment horizontal="center"/>
    </xf>
    <xf numFmtId="0" fontId="47" fillId="2" borderId="0" xfId="0" applyFont="1" applyFill="1" applyAlignment="1">
      <alignment vertical="center"/>
    </xf>
    <xf numFmtId="0" fontId="2" fillId="2" borderId="0" xfId="0" applyFont="1" applyFill="1" applyAlignment="1">
      <alignment horizontal="center" vertical="center" wrapText="1" readingOrder="2"/>
    </xf>
    <xf numFmtId="0" fontId="6" fillId="4" borderId="2" xfId="0" applyFont="1" applyFill="1" applyBorder="1" applyAlignment="1">
      <alignment horizontal="center" vertical="center" wrapText="1" readingOrder="2"/>
    </xf>
    <xf numFmtId="0" fontId="10" fillId="2" borderId="4" xfId="0" applyFont="1" applyFill="1" applyBorder="1" applyAlignment="1">
      <alignment horizontal="center" vertical="center" wrapText="1" readingOrder="2"/>
    </xf>
    <xf numFmtId="0" fontId="10" fillId="2" borderId="6" xfId="0" applyFont="1" applyFill="1" applyBorder="1" applyAlignment="1">
      <alignment horizontal="center" vertical="center" wrapText="1" readingOrder="2"/>
    </xf>
    <xf numFmtId="0" fontId="10" fillId="2" borderId="7" xfId="0" applyFont="1" applyFill="1" applyBorder="1" applyAlignment="1">
      <alignment horizontal="center" vertical="center" wrapText="1" readingOrder="2"/>
    </xf>
    <xf numFmtId="0" fontId="10" fillId="0" borderId="4" xfId="0" applyFont="1" applyBorder="1" applyAlignment="1">
      <alignment horizontal="center" vertical="center" wrapText="1" readingOrder="2"/>
    </xf>
    <xf numFmtId="0" fontId="29" fillId="2" borderId="4" xfId="0" applyFont="1" applyFill="1" applyBorder="1" applyAlignment="1">
      <alignment horizontal="center" vertical="center" wrapText="1" readingOrder="2"/>
    </xf>
    <xf numFmtId="0" fontId="11" fillId="0" borderId="4" xfId="0" applyFont="1" applyBorder="1" applyAlignment="1">
      <alignment horizontal="center" vertical="center" wrapText="1"/>
    </xf>
    <xf numFmtId="0" fontId="11" fillId="2" borderId="4" xfId="0" applyFont="1" applyFill="1" applyBorder="1" applyAlignment="1">
      <alignment horizontal="center" vertical="center" wrapText="1"/>
    </xf>
    <xf numFmtId="164" fontId="19" fillId="0" borderId="4" xfId="1" applyFont="1" applyFill="1" applyBorder="1" applyAlignment="1">
      <alignment horizontal="center" vertical="center" wrapText="1"/>
    </xf>
    <xf numFmtId="0" fontId="29" fillId="2" borderId="6" xfId="0" applyFont="1" applyFill="1" applyBorder="1" applyAlignment="1">
      <alignment horizontal="center" vertical="center" wrapText="1" readingOrder="2"/>
    </xf>
    <xf numFmtId="0" fontId="29" fillId="2" borderId="7" xfId="0" applyFont="1" applyFill="1" applyBorder="1" applyAlignment="1">
      <alignment horizontal="center" vertical="center" wrapText="1" readingOrder="2"/>
    </xf>
    <xf numFmtId="0" fontId="10" fillId="2" borderId="12" xfId="0" applyFont="1" applyFill="1" applyBorder="1" applyAlignment="1">
      <alignment horizontal="center" vertical="center" wrapText="1" readingOrder="2"/>
    </xf>
    <xf numFmtId="0" fontId="10" fillId="2" borderId="13" xfId="0" applyFont="1" applyFill="1" applyBorder="1" applyAlignment="1">
      <alignment horizontal="center" vertical="center" wrapText="1" readingOrder="2"/>
    </xf>
    <xf numFmtId="0" fontId="8" fillId="4" borderId="4" xfId="0" applyFont="1" applyFill="1" applyBorder="1" applyAlignment="1">
      <alignment horizontal="center" vertical="center"/>
    </xf>
    <xf numFmtId="0" fontId="36" fillId="2" borderId="0" xfId="0" applyFont="1" applyFill="1" applyAlignment="1">
      <alignment horizontal="center" vertical="center" wrapText="1"/>
    </xf>
  </cellXfs>
  <cellStyles count="330">
    <cellStyle name="40 % - Accent6 2" xfId="4" xr:uid="{00000000-0005-0000-0000-000000000000}"/>
    <cellStyle name="Comma" xfId="1" builtinId="3"/>
    <cellStyle name="Comma 10" xfId="5" xr:uid="{00000000-0005-0000-0000-000002000000}"/>
    <cellStyle name="Comma 2" xfId="6" xr:uid="{00000000-0005-0000-0000-000003000000}"/>
    <cellStyle name="Comma 2 2" xfId="7" xr:uid="{00000000-0005-0000-0000-000004000000}"/>
    <cellStyle name="Comma 2 3" xfId="8" xr:uid="{00000000-0005-0000-0000-000005000000}"/>
    <cellStyle name="Comma 2 4" xfId="9" xr:uid="{00000000-0005-0000-0000-000006000000}"/>
    <cellStyle name="Comma 3" xfId="10" xr:uid="{00000000-0005-0000-0000-000007000000}"/>
    <cellStyle name="Comma 3 2" xfId="11" xr:uid="{00000000-0005-0000-0000-000008000000}"/>
    <cellStyle name="Comma 4" xfId="12" xr:uid="{00000000-0005-0000-0000-000009000000}"/>
    <cellStyle name="Comma 5" xfId="13" xr:uid="{00000000-0005-0000-0000-00000A000000}"/>
    <cellStyle name="Comma 6" xfId="14" xr:uid="{00000000-0005-0000-0000-00000B000000}"/>
    <cellStyle name="Comma 7" xfId="15" xr:uid="{00000000-0005-0000-0000-00000C000000}"/>
    <cellStyle name="Comma 8" xfId="16" xr:uid="{00000000-0005-0000-0000-00000D000000}"/>
    <cellStyle name="Comma 9" xfId="17" xr:uid="{00000000-0005-0000-0000-00000E000000}"/>
    <cellStyle name="Currency 2" xfId="18" xr:uid="{00000000-0005-0000-0000-00000F000000}"/>
    <cellStyle name="Milliers 10" xfId="19" xr:uid="{00000000-0005-0000-0000-000010000000}"/>
    <cellStyle name="Milliers 10 2" xfId="20" xr:uid="{00000000-0005-0000-0000-000011000000}"/>
    <cellStyle name="Milliers 10 3" xfId="21" xr:uid="{00000000-0005-0000-0000-000012000000}"/>
    <cellStyle name="Milliers 11" xfId="22" xr:uid="{00000000-0005-0000-0000-000013000000}"/>
    <cellStyle name="Milliers 11 2" xfId="23" xr:uid="{00000000-0005-0000-0000-000014000000}"/>
    <cellStyle name="Milliers 12" xfId="24" xr:uid="{00000000-0005-0000-0000-000015000000}"/>
    <cellStyle name="Milliers 12 2" xfId="25" xr:uid="{00000000-0005-0000-0000-000016000000}"/>
    <cellStyle name="Milliers 13" xfId="26" xr:uid="{00000000-0005-0000-0000-000017000000}"/>
    <cellStyle name="Milliers 13 2" xfId="27" xr:uid="{00000000-0005-0000-0000-000018000000}"/>
    <cellStyle name="Milliers 14" xfId="28" xr:uid="{00000000-0005-0000-0000-000019000000}"/>
    <cellStyle name="Milliers 14 2" xfId="29" xr:uid="{00000000-0005-0000-0000-00001A000000}"/>
    <cellStyle name="Milliers 14 2 2" xfId="30" xr:uid="{00000000-0005-0000-0000-00001B000000}"/>
    <cellStyle name="Milliers 14 2 2 2" xfId="31" xr:uid="{00000000-0005-0000-0000-00001C000000}"/>
    <cellStyle name="Milliers 14 3" xfId="32" xr:uid="{00000000-0005-0000-0000-00001D000000}"/>
    <cellStyle name="Milliers 15" xfId="33" xr:uid="{00000000-0005-0000-0000-00001E000000}"/>
    <cellStyle name="Milliers 15 2" xfId="34" xr:uid="{00000000-0005-0000-0000-00001F000000}"/>
    <cellStyle name="Milliers 16" xfId="35" xr:uid="{00000000-0005-0000-0000-000020000000}"/>
    <cellStyle name="Milliers 17" xfId="36" xr:uid="{00000000-0005-0000-0000-000021000000}"/>
    <cellStyle name="Milliers 18" xfId="37" xr:uid="{00000000-0005-0000-0000-000022000000}"/>
    <cellStyle name="Milliers 19" xfId="38" xr:uid="{00000000-0005-0000-0000-000023000000}"/>
    <cellStyle name="Milliers 2" xfId="39" xr:uid="{00000000-0005-0000-0000-000024000000}"/>
    <cellStyle name="Milliers 2 10" xfId="40" xr:uid="{00000000-0005-0000-0000-000025000000}"/>
    <cellStyle name="Milliers 2 10 2" xfId="41" xr:uid="{00000000-0005-0000-0000-000026000000}"/>
    <cellStyle name="Milliers 2 11" xfId="42" xr:uid="{00000000-0005-0000-0000-000027000000}"/>
    <cellStyle name="Milliers 2 11 2" xfId="43" xr:uid="{00000000-0005-0000-0000-000028000000}"/>
    <cellStyle name="Milliers 2 12" xfId="44" xr:uid="{00000000-0005-0000-0000-000029000000}"/>
    <cellStyle name="Milliers 2 12 2" xfId="45" xr:uid="{00000000-0005-0000-0000-00002A000000}"/>
    <cellStyle name="Milliers 2 13" xfId="46" xr:uid="{00000000-0005-0000-0000-00002B000000}"/>
    <cellStyle name="Milliers 2 13 2" xfId="47" xr:uid="{00000000-0005-0000-0000-00002C000000}"/>
    <cellStyle name="Milliers 2 14" xfId="48" xr:uid="{00000000-0005-0000-0000-00002D000000}"/>
    <cellStyle name="Milliers 2 15" xfId="49" xr:uid="{00000000-0005-0000-0000-00002E000000}"/>
    <cellStyle name="Milliers 2 2" xfId="50" xr:uid="{00000000-0005-0000-0000-00002F000000}"/>
    <cellStyle name="Milliers 2 2 2" xfId="51" xr:uid="{00000000-0005-0000-0000-000030000000}"/>
    <cellStyle name="Milliers 2 2 3" xfId="52" xr:uid="{00000000-0005-0000-0000-000031000000}"/>
    <cellStyle name="Milliers 2 2 4" xfId="53" xr:uid="{00000000-0005-0000-0000-000032000000}"/>
    <cellStyle name="Milliers 2 2 5" xfId="54" xr:uid="{00000000-0005-0000-0000-000033000000}"/>
    <cellStyle name="Milliers 2 2 6" xfId="55" xr:uid="{00000000-0005-0000-0000-000034000000}"/>
    <cellStyle name="Milliers 2 2 7" xfId="56" xr:uid="{00000000-0005-0000-0000-000035000000}"/>
    <cellStyle name="Milliers 2 2 8" xfId="57" xr:uid="{00000000-0005-0000-0000-000036000000}"/>
    <cellStyle name="Milliers 2 2 9" xfId="58" xr:uid="{00000000-0005-0000-0000-000037000000}"/>
    <cellStyle name="Milliers 2 3" xfId="59" xr:uid="{00000000-0005-0000-0000-000038000000}"/>
    <cellStyle name="Milliers 2 3 2" xfId="60" xr:uid="{00000000-0005-0000-0000-000039000000}"/>
    <cellStyle name="Milliers 2 3 2 2" xfId="61" xr:uid="{00000000-0005-0000-0000-00003A000000}"/>
    <cellStyle name="Milliers 2 3 2 2 2" xfId="62" xr:uid="{00000000-0005-0000-0000-00003B000000}"/>
    <cellStyle name="Milliers 2 3 3" xfId="63" xr:uid="{00000000-0005-0000-0000-00003C000000}"/>
    <cellStyle name="Milliers 2 3 4" xfId="64" xr:uid="{00000000-0005-0000-0000-00003D000000}"/>
    <cellStyle name="Milliers 2 4" xfId="65" xr:uid="{00000000-0005-0000-0000-00003E000000}"/>
    <cellStyle name="Milliers 2 4 2" xfId="66" xr:uid="{00000000-0005-0000-0000-00003F000000}"/>
    <cellStyle name="Milliers 2 5" xfId="67" xr:uid="{00000000-0005-0000-0000-000040000000}"/>
    <cellStyle name="Milliers 2 5 2" xfId="68" xr:uid="{00000000-0005-0000-0000-000041000000}"/>
    <cellStyle name="Milliers 2 6" xfId="69" xr:uid="{00000000-0005-0000-0000-000042000000}"/>
    <cellStyle name="Milliers 2 6 2" xfId="70" xr:uid="{00000000-0005-0000-0000-000043000000}"/>
    <cellStyle name="Milliers 2 7" xfId="71" xr:uid="{00000000-0005-0000-0000-000044000000}"/>
    <cellStyle name="Milliers 2 7 2" xfId="72" xr:uid="{00000000-0005-0000-0000-000045000000}"/>
    <cellStyle name="Milliers 2 8" xfId="73" xr:uid="{00000000-0005-0000-0000-000046000000}"/>
    <cellStyle name="Milliers 2 8 2" xfId="74" xr:uid="{00000000-0005-0000-0000-000047000000}"/>
    <cellStyle name="Milliers 2 9" xfId="75" xr:uid="{00000000-0005-0000-0000-000048000000}"/>
    <cellStyle name="Milliers 2 9 2" xfId="76" xr:uid="{00000000-0005-0000-0000-000049000000}"/>
    <cellStyle name="Milliers 3" xfId="77" xr:uid="{00000000-0005-0000-0000-00004A000000}"/>
    <cellStyle name="Milliers 3 2" xfId="78" xr:uid="{00000000-0005-0000-0000-00004B000000}"/>
    <cellStyle name="Milliers 3 3" xfId="79" xr:uid="{00000000-0005-0000-0000-00004C000000}"/>
    <cellStyle name="Milliers 3 3 2" xfId="80" xr:uid="{00000000-0005-0000-0000-00004D000000}"/>
    <cellStyle name="Milliers 3 4" xfId="81" xr:uid="{00000000-0005-0000-0000-00004E000000}"/>
    <cellStyle name="Milliers 3 5" xfId="82" xr:uid="{00000000-0005-0000-0000-00004F000000}"/>
    <cellStyle name="Milliers 4" xfId="83" xr:uid="{00000000-0005-0000-0000-000050000000}"/>
    <cellStyle name="Milliers 4 2" xfId="84" xr:uid="{00000000-0005-0000-0000-000051000000}"/>
    <cellStyle name="Milliers 4 2 2" xfId="85" xr:uid="{00000000-0005-0000-0000-000052000000}"/>
    <cellStyle name="Milliers 4 2 2 2" xfId="86" xr:uid="{00000000-0005-0000-0000-000053000000}"/>
    <cellStyle name="Milliers 4 2 3" xfId="87" xr:uid="{00000000-0005-0000-0000-000054000000}"/>
    <cellStyle name="Milliers 4 3" xfId="88" xr:uid="{00000000-0005-0000-0000-000055000000}"/>
    <cellStyle name="Milliers 4 3 2" xfId="89" xr:uid="{00000000-0005-0000-0000-000056000000}"/>
    <cellStyle name="Milliers 4 4" xfId="90" xr:uid="{00000000-0005-0000-0000-000057000000}"/>
    <cellStyle name="Milliers 4 4 2" xfId="91" xr:uid="{00000000-0005-0000-0000-000058000000}"/>
    <cellStyle name="Milliers 4 5" xfId="92" xr:uid="{00000000-0005-0000-0000-000059000000}"/>
    <cellStyle name="Milliers 4 6" xfId="93" xr:uid="{00000000-0005-0000-0000-00005A000000}"/>
    <cellStyle name="Milliers 5" xfId="94" xr:uid="{00000000-0005-0000-0000-00005B000000}"/>
    <cellStyle name="Milliers 5 2" xfId="95" xr:uid="{00000000-0005-0000-0000-00005C000000}"/>
    <cellStyle name="Milliers 5 3" xfId="96" xr:uid="{00000000-0005-0000-0000-00005D000000}"/>
    <cellStyle name="Milliers 6" xfId="97" xr:uid="{00000000-0005-0000-0000-00005E000000}"/>
    <cellStyle name="Milliers 6 2" xfId="98" xr:uid="{00000000-0005-0000-0000-00005F000000}"/>
    <cellStyle name="Milliers 6 3" xfId="99" xr:uid="{00000000-0005-0000-0000-000060000000}"/>
    <cellStyle name="Milliers 7" xfId="100" xr:uid="{00000000-0005-0000-0000-000061000000}"/>
    <cellStyle name="Milliers 7 2" xfId="101" xr:uid="{00000000-0005-0000-0000-000062000000}"/>
    <cellStyle name="Milliers 7 3" xfId="102" xr:uid="{00000000-0005-0000-0000-000063000000}"/>
    <cellStyle name="Milliers 7 4" xfId="103" xr:uid="{00000000-0005-0000-0000-000064000000}"/>
    <cellStyle name="Milliers 7 4 2" xfId="104" xr:uid="{00000000-0005-0000-0000-000065000000}"/>
    <cellStyle name="Milliers 7 5" xfId="105" xr:uid="{00000000-0005-0000-0000-000066000000}"/>
    <cellStyle name="Milliers 8" xfId="106" xr:uid="{00000000-0005-0000-0000-000067000000}"/>
    <cellStyle name="Milliers 9" xfId="107" xr:uid="{00000000-0005-0000-0000-000068000000}"/>
    <cellStyle name="Milliers 9 2" xfId="108" xr:uid="{00000000-0005-0000-0000-000069000000}"/>
    <cellStyle name="Milliers 9 3" xfId="109" xr:uid="{00000000-0005-0000-0000-00006A000000}"/>
    <cellStyle name="Normal" xfId="0" builtinId="0"/>
    <cellStyle name="Normal 10" xfId="110" xr:uid="{00000000-0005-0000-0000-00006C000000}"/>
    <cellStyle name="Normal 10 2" xfId="111" xr:uid="{00000000-0005-0000-0000-00006D000000}"/>
    <cellStyle name="Normal 10 2 2" xfId="112" xr:uid="{00000000-0005-0000-0000-00006E000000}"/>
    <cellStyle name="Normal 10 3" xfId="113" xr:uid="{00000000-0005-0000-0000-00006F000000}"/>
    <cellStyle name="Normal 10 4" xfId="114" xr:uid="{00000000-0005-0000-0000-000070000000}"/>
    <cellStyle name="Normal 11" xfId="115" xr:uid="{00000000-0005-0000-0000-000071000000}"/>
    <cellStyle name="Normal 11 2" xfId="116" xr:uid="{00000000-0005-0000-0000-000072000000}"/>
    <cellStyle name="Normal 12" xfId="117" xr:uid="{00000000-0005-0000-0000-000073000000}"/>
    <cellStyle name="Normal 12 2" xfId="118" xr:uid="{00000000-0005-0000-0000-000074000000}"/>
    <cellStyle name="Normal 13" xfId="119" xr:uid="{00000000-0005-0000-0000-000075000000}"/>
    <cellStyle name="Normal 13 2" xfId="120" xr:uid="{00000000-0005-0000-0000-000076000000}"/>
    <cellStyle name="Normal 14" xfId="121" xr:uid="{00000000-0005-0000-0000-000077000000}"/>
    <cellStyle name="Normal 15" xfId="122" xr:uid="{00000000-0005-0000-0000-000078000000}"/>
    <cellStyle name="Normal 15 2" xfId="123" xr:uid="{00000000-0005-0000-0000-000079000000}"/>
    <cellStyle name="Normal 16" xfId="124" xr:uid="{00000000-0005-0000-0000-00007A000000}"/>
    <cellStyle name="Normal 16 2" xfId="125" xr:uid="{00000000-0005-0000-0000-00007B000000}"/>
    <cellStyle name="Normal 16 3" xfId="126" xr:uid="{00000000-0005-0000-0000-00007C000000}"/>
    <cellStyle name="Normal 16 4" xfId="127" xr:uid="{00000000-0005-0000-0000-00007D000000}"/>
    <cellStyle name="Normal 17" xfId="128" xr:uid="{00000000-0005-0000-0000-00007E000000}"/>
    <cellStyle name="Normal 18" xfId="129" xr:uid="{00000000-0005-0000-0000-00007F000000}"/>
    <cellStyle name="Normal 18 2" xfId="130" xr:uid="{00000000-0005-0000-0000-000080000000}"/>
    <cellStyle name="Normal 19" xfId="131" xr:uid="{00000000-0005-0000-0000-000081000000}"/>
    <cellStyle name="Normal 19 14 7" xfId="132" xr:uid="{00000000-0005-0000-0000-000082000000}"/>
    <cellStyle name="Normal 2" xfId="133" xr:uid="{00000000-0005-0000-0000-000083000000}"/>
    <cellStyle name="Normal 2 10" xfId="134" xr:uid="{00000000-0005-0000-0000-000084000000}"/>
    <cellStyle name="Normal 2 11" xfId="135" xr:uid="{00000000-0005-0000-0000-000085000000}"/>
    <cellStyle name="Normal 2 12" xfId="136" xr:uid="{00000000-0005-0000-0000-000086000000}"/>
    <cellStyle name="Normal 2 13" xfId="137" xr:uid="{00000000-0005-0000-0000-000087000000}"/>
    <cellStyle name="Normal 2 2" xfId="138" xr:uid="{00000000-0005-0000-0000-000088000000}"/>
    <cellStyle name="Normal 2 2 10" xfId="139" xr:uid="{00000000-0005-0000-0000-000089000000}"/>
    <cellStyle name="Normal 2 2 11" xfId="140" xr:uid="{00000000-0005-0000-0000-00008A000000}"/>
    <cellStyle name="Normal 2 2 12" xfId="141" xr:uid="{00000000-0005-0000-0000-00008B000000}"/>
    <cellStyle name="Normal 2 2 13" xfId="142" xr:uid="{00000000-0005-0000-0000-00008C000000}"/>
    <cellStyle name="Normal 2 2 2" xfId="143" xr:uid="{00000000-0005-0000-0000-00008D000000}"/>
    <cellStyle name="Normal 2 2 2 2" xfId="144" xr:uid="{00000000-0005-0000-0000-00008E000000}"/>
    <cellStyle name="Normal 2 2 2 2 2" xfId="145" xr:uid="{00000000-0005-0000-0000-00008F000000}"/>
    <cellStyle name="Normal 2 2 2 2 3" xfId="146" xr:uid="{00000000-0005-0000-0000-000090000000}"/>
    <cellStyle name="Normal 2 2 2 2 4" xfId="147" xr:uid="{00000000-0005-0000-0000-000091000000}"/>
    <cellStyle name="Normal 2 2 2 2 5" xfId="148" xr:uid="{00000000-0005-0000-0000-000092000000}"/>
    <cellStyle name="Normal 2 2 2 2 6" xfId="149" xr:uid="{00000000-0005-0000-0000-000093000000}"/>
    <cellStyle name="Normal 2 2 2 2 7" xfId="150" xr:uid="{00000000-0005-0000-0000-000094000000}"/>
    <cellStyle name="Normal 2 2 2 2 8" xfId="151" xr:uid="{00000000-0005-0000-0000-000095000000}"/>
    <cellStyle name="Normal 2 2 2 3" xfId="152" xr:uid="{00000000-0005-0000-0000-000096000000}"/>
    <cellStyle name="Normal 2 2 2 4" xfId="153" xr:uid="{00000000-0005-0000-0000-000097000000}"/>
    <cellStyle name="Normal 2 2 2 5" xfId="154" xr:uid="{00000000-0005-0000-0000-000098000000}"/>
    <cellStyle name="Normal 2 2 2 6" xfId="155" xr:uid="{00000000-0005-0000-0000-000099000000}"/>
    <cellStyle name="Normal 2 2 2 7" xfId="156" xr:uid="{00000000-0005-0000-0000-00009A000000}"/>
    <cellStyle name="Normal 2 2 2 8" xfId="157" xr:uid="{00000000-0005-0000-0000-00009B000000}"/>
    <cellStyle name="Normal 2 2 2 9" xfId="158" xr:uid="{00000000-0005-0000-0000-00009C000000}"/>
    <cellStyle name="Normal 2 2 3" xfId="159" xr:uid="{00000000-0005-0000-0000-00009D000000}"/>
    <cellStyle name="Normal 2 2 3 2" xfId="160" xr:uid="{00000000-0005-0000-0000-00009E000000}"/>
    <cellStyle name="Normal 2 2 3 2 3" xfId="161" xr:uid="{00000000-0005-0000-0000-00009F000000}"/>
    <cellStyle name="Normal 2 2 3 3" xfId="162" xr:uid="{00000000-0005-0000-0000-0000A0000000}"/>
    <cellStyle name="Normal 2 2 4" xfId="3" xr:uid="{00000000-0005-0000-0000-0000A1000000}"/>
    <cellStyle name="Normal 2 2 4 2" xfId="163" xr:uid="{00000000-0005-0000-0000-0000A2000000}"/>
    <cellStyle name="Normal 2 2 5" xfId="164" xr:uid="{00000000-0005-0000-0000-0000A3000000}"/>
    <cellStyle name="Normal 2 2 5 2" xfId="165" xr:uid="{00000000-0005-0000-0000-0000A4000000}"/>
    <cellStyle name="Normal 2 2 6" xfId="166" xr:uid="{00000000-0005-0000-0000-0000A5000000}"/>
    <cellStyle name="Normal 2 2 6 2" xfId="167" xr:uid="{00000000-0005-0000-0000-0000A6000000}"/>
    <cellStyle name="Normal 2 2 7" xfId="168" xr:uid="{00000000-0005-0000-0000-0000A7000000}"/>
    <cellStyle name="Normal 2 2 8" xfId="169" xr:uid="{00000000-0005-0000-0000-0000A8000000}"/>
    <cellStyle name="Normal 2 2 9" xfId="170" xr:uid="{00000000-0005-0000-0000-0000A9000000}"/>
    <cellStyle name="Normal 2 3" xfId="171" xr:uid="{00000000-0005-0000-0000-0000AA000000}"/>
    <cellStyle name="Normal 2 3 2" xfId="172" xr:uid="{00000000-0005-0000-0000-0000AB000000}"/>
    <cellStyle name="Normal 2 3 2 2" xfId="173" xr:uid="{00000000-0005-0000-0000-0000AC000000}"/>
    <cellStyle name="Normal 2 3 2 2 2" xfId="174" xr:uid="{00000000-0005-0000-0000-0000AD000000}"/>
    <cellStyle name="Normal 2 3 2 3" xfId="175" xr:uid="{00000000-0005-0000-0000-0000AE000000}"/>
    <cellStyle name="Normal 2 3 2 3 2" xfId="176" xr:uid="{00000000-0005-0000-0000-0000AF000000}"/>
    <cellStyle name="Normal 2 3 2 4" xfId="177" xr:uid="{00000000-0005-0000-0000-0000B0000000}"/>
    <cellStyle name="Normal 2 3 2 4 2" xfId="178" xr:uid="{00000000-0005-0000-0000-0000B1000000}"/>
    <cellStyle name="Normal 2 3 2 5" xfId="179" xr:uid="{00000000-0005-0000-0000-0000B2000000}"/>
    <cellStyle name="Normal 2 3 3" xfId="180" xr:uid="{00000000-0005-0000-0000-0000B3000000}"/>
    <cellStyle name="Normal 2 3 3 2" xfId="181" xr:uid="{00000000-0005-0000-0000-0000B4000000}"/>
    <cellStyle name="Normal 2 3 3 2 2" xfId="182" xr:uid="{00000000-0005-0000-0000-0000B5000000}"/>
    <cellStyle name="Normal 2 3 3 3" xfId="183" xr:uid="{00000000-0005-0000-0000-0000B6000000}"/>
    <cellStyle name="Normal 2 3 3 3 2" xfId="184" xr:uid="{00000000-0005-0000-0000-0000B7000000}"/>
    <cellStyle name="Normal 2 3 3 4" xfId="185" xr:uid="{00000000-0005-0000-0000-0000B8000000}"/>
    <cellStyle name="Normal 2 3 3 4 2" xfId="186" xr:uid="{00000000-0005-0000-0000-0000B9000000}"/>
    <cellStyle name="Normal 2 3 3 5" xfId="187" xr:uid="{00000000-0005-0000-0000-0000BA000000}"/>
    <cellStyle name="Normal 2 3 4" xfId="188" xr:uid="{00000000-0005-0000-0000-0000BB000000}"/>
    <cellStyle name="Normal 2 3 4 2" xfId="189" xr:uid="{00000000-0005-0000-0000-0000BC000000}"/>
    <cellStyle name="Normal 2 3 4 2 2" xfId="190" xr:uid="{00000000-0005-0000-0000-0000BD000000}"/>
    <cellStyle name="Normal 2 3 4 3" xfId="191" xr:uid="{00000000-0005-0000-0000-0000BE000000}"/>
    <cellStyle name="Normal 2 3 5" xfId="192" xr:uid="{00000000-0005-0000-0000-0000BF000000}"/>
    <cellStyle name="Normal 2 3 5 2" xfId="193" xr:uid="{00000000-0005-0000-0000-0000C0000000}"/>
    <cellStyle name="Normal 2 3 6" xfId="194" xr:uid="{00000000-0005-0000-0000-0000C1000000}"/>
    <cellStyle name="Normal 2 3 6 2" xfId="195" xr:uid="{00000000-0005-0000-0000-0000C2000000}"/>
    <cellStyle name="Normal 2 3 7" xfId="196" xr:uid="{00000000-0005-0000-0000-0000C3000000}"/>
    <cellStyle name="Normal 2 3 7 2" xfId="197" xr:uid="{00000000-0005-0000-0000-0000C4000000}"/>
    <cellStyle name="Normal 2 3 8" xfId="198" xr:uid="{00000000-0005-0000-0000-0000C5000000}"/>
    <cellStyle name="Normal 2 4" xfId="199" xr:uid="{00000000-0005-0000-0000-0000C6000000}"/>
    <cellStyle name="Normal 2 4 2" xfId="200" xr:uid="{00000000-0005-0000-0000-0000C7000000}"/>
    <cellStyle name="Normal 2 5" xfId="201" xr:uid="{00000000-0005-0000-0000-0000C8000000}"/>
    <cellStyle name="Normal 2 5 2" xfId="202" xr:uid="{00000000-0005-0000-0000-0000C9000000}"/>
    <cellStyle name="Normal 2 5 2 2" xfId="203" xr:uid="{00000000-0005-0000-0000-0000CA000000}"/>
    <cellStyle name="Normal 2 5 2 2 2" xfId="204" xr:uid="{00000000-0005-0000-0000-0000CB000000}"/>
    <cellStyle name="Normal 2 5 2 2 2 2" xfId="205" xr:uid="{00000000-0005-0000-0000-0000CC000000}"/>
    <cellStyle name="Normal 2 5 2 2 3" xfId="206" xr:uid="{00000000-0005-0000-0000-0000CD000000}"/>
    <cellStyle name="Normal 2 5 2 2 3 2" xfId="207" xr:uid="{00000000-0005-0000-0000-0000CE000000}"/>
    <cellStyle name="Normal 2 5 2 2 4" xfId="208" xr:uid="{00000000-0005-0000-0000-0000CF000000}"/>
    <cellStyle name="Normal 2 5 2 2 4 2" xfId="209" xr:uid="{00000000-0005-0000-0000-0000D0000000}"/>
    <cellStyle name="Normal 2 5 2 2 5" xfId="210" xr:uid="{00000000-0005-0000-0000-0000D1000000}"/>
    <cellStyle name="Normal 2 5 2 3" xfId="211" xr:uid="{00000000-0005-0000-0000-0000D2000000}"/>
    <cellStyle name="Normal 2 5 2 3 2" xfId="212" xr:uid="{00000000-0005-0000-0000-0000D3000000}"/>
    <cellStyle name="Normal 2 5 2 4" xfId="213" xr:uid="{00000000-0005-0000-0000-0000D4000000}"/>
    <cellStyle name="Normal 2 5 2 4 2" xfId="214" xr:uid="{00000000-0005-0000-0000-0000D5000000}"/>
    <cellStyle name="Normal 2 5 2 5" xfId="215" xr:uid="{00000000-0005-0000-0000-0000D6000000}"/>
    <cellStyle name="Normal 2 5 2 5 2" xfId="216" xr:uid="{00000000-0005-0000-0000-0000D7000000}"/>
    <cellStyle name="Normal 2 5 2 6" xfId="217" xr:uid="{00000000-0005-0000-0000-0000D8000000}"/>
    <cellStyle name="Normal 2 5 3" xfId="218" xr:uid="{00000000-0005-0000-0000-0000D9000000}"/>
    <cellStyle name="Normal 2 5 3 2" xfId="219" xr:uid="{00000000-0005-0000-0000-0000DA000000}"/>
    <cellStyle name="Normal 2 5 3 2 2" xfId="220" xr:uid="{00000000-0005-0000-0000-0000DB000000}"/>
    <cellStyle name="Normal 2 5 3 2 3" xfId="221" xr:uid="{00000000-0005-0000-0000-0000DC000000}"/>
    <cellStyle name="Normal 2 5 4" xfId="222" xr:uid="{00000000-0005-0000-0000-0000DD000000}"/>
    <cellStyle name="Normal 2 5 4 2" xfId="223" xr:uid="{00000000-0005-0000-0000-0000DE000000}"/>
    <cellStyle name="Normal 2 5 5" xfId="224" xr:uid="{00000000-0005-0000-0000-0000DF000000}"/>
    <cellStyle name="Normal 2 5 5 2" xfId="225" xr:uid="{00000000-0005-0000-0000-0000E0000000}"/>
    <cellStyle name="Normal 2 5 6" xfId="226" xr:uid="{00000000-0005-0000-0000-0000E1000000}"/>
    <cellStyle name="Normal 2 6" xfId="227" xr:uid="{00000000-0005-0000-0000-0000E2000000}"/>
    <cellStyle name="Normal 2 7" xfId="228" xr:uid="{00000000-0005-0000-0000-0000E3000000}"/>
    <cellStyle name="Normal 2 8" xfId="229" xr:uid="{00000000-0005-0000-0000-0000E4000000}"/>
    <cellStyle name="Normal 2 9" xfId="230" xr:uid="{00000000-0005-0000-0000-0000E5000000}"/>
    <cellStyle name="Normal 2_البرامج المسجلة في ميزانية الولاية والمسيرة من الولاية والمديريات" xfId="231" xr:uid="{00000000-0005-0000-0000-0000E6000000}"/>
    <cellStyle name="Normal 20" xfId="232" xr:uid="{00000000-0005-0000-0000-0000E7000000}"/>
    <cellStyle name="Normal 21" xfId="233" xr:uid="{00000000-0005-0000-0000-0000E8000000}"/>
    <cellStyle name="Normal 21 2" xfId="234" xr:uid="{00000000-0005-0000-0000-0000E9000000}"/>
    <cellStyle name="Normal 22" xfId="235" xr:uid="{00000000-0005-0000-0000-0000EA000000}"/>
    <cellStyle name="Normal 22 2" xfId="236" xr:uid="{00000000-0005-0000-0000-0000EB000000}"/>
    <cellStyle name="Normal 23" xfId="237" xr:uid="{00000000-0005-0000-0000-0000EC000000}"/>
    <cellStyle name="Normal 23 2" xfId="238" xr:uid="{00000000-0005-0000-0000-0000ED000000}"/>
    <cellStyle name="Normal 24" xfId="239" xr:uid="{00000000-0005-0000-0000-0000EE000000}"/>
    <cellStyle name="Normal 24 2" xfId="240" xr:uid="{00000000-0005-0000-0000-0000EF000000}"/>
    <cellStyle name="Normal 25" xfId="241" xr:uid="{00000000-0005-0000-0000-0000F0000000}"/>
    <cellStyle name="Normal 25 2" xfId="242" xr:uid="{00000000-0005-0000-0000-0000F1000000}"/>
    <cellStyle name="Normal 26" xfId="243" xr:uid="{00000000-0005-0000-0000-0000F2000000}"/>
    <cellStyle name="Normal 27" xfId="244" xr:uid="{00000000-0005-0000-0000-0000F3000000}"/>
    <cellStyle name="Normal 3" xfId="245" xr:uid="{00000000-0005-0000-0000-0000F4000000}"/>
    <cellStyle name="Normal 3 2" xfId="246" xr:uid="{00000000-0005-0000-0000-0000F5000000}"/>
    <cellStyle name="Normal 3 2 2" xfId="247" xr:uid="{00000000-0005-0000-0000-0000F6000000}"/>
    <cellStyle name="Normal 3 2 3" xfId="248" xr:uid="{00000000-0005-0000-0000-0000F7000000}"/>
    <cellStyle name="Normal 3 3" xfId="249" xr:uid="{00000000-0005-0000-0000-0000F8000000}"/>
    <cellStyle name="Normal 3 3 2" xfId="250" xr:uid="{00000000-0005-0000-0000-0000F9000000}"/>
    <cellStyle name="Normal 3 3 2 2" xfId="251" xr:uid="{00000000-0005-0000-0000-0000FA000000}"/>
    <cellStyle name="Normal 3 3 3" xfId="252" xr:uid="{00000000-0005-0000-0000-0000FB000000}"/>
    <cellStyle name="Normal 3 4" xfId="253" xr:uid="{00000000-0005-0000-0000-0000FC000000}"/>
    <cellStyle name="Normal 3 4 2" xfId="254" xr:uid="{00000000-0005-0000-0000-0000FD000000}"/>
    <cellStyle name="Normal 3 5" xfId="255" xr:uid="{00000000-0005-0000-0000-0000FE000000}"/>
    <cellStyle name="Normal 3 5 2" xfId="256" xr:uid="{00000000-0005-0000-0000-0000FF000000}"/>
    <cellStyle name="Normal 4" xfId="257" xr:uid="{00000000-0005-0000-0000-000000010000}"/>
    <cellStyle name="Normal 4 2" xfId="258" xr:uid="{00000000-0005-0000-0000-000001010000}"/>
    <cellStyle name="Normal 4 2 2" xfId="259" xr:uid="{00000000-0005-0000-0000-000002010000}"/>
    <cellStyle name="Normal 4 2 2 2" xfId="260" xr:uid="{00000000-0005-0000-0000-000003010000}"/>
    <cellStyle name="Normal 4 2 2 2 2" xfId="261" xr:uid="{00000000-0005-0000-0000-000004010000}"/>
    <cellStyle name="Normal 4 2 2 3" xfId="262" xr:uid="{00000000-0005-0000-0000-000005010000}"/>
    <cellStyle name="Normal 4 2 3" xfId="263" xr:uid="{00000000-0005-0000-0000-000006010000}"/>
    <cellStyle name="Normal 4 2 3 2" xfId="264" xr:uid="{00000000-0005-0000-0000-000007010000}"/>
    <cellStyle name="Normal 4 2 4" xfId="265" xr:uid="{00000000-0005-0000-0000-000008010000}"/>
    <cellStyle name="Normal 4 2 5" xfId="266" xr:uid="{00000000-0005-0000-0000-000009010000}"/>
    <cellStyle name="Normal 4 3" xfId="267" xr:uid="{00000000-0005-0000-0000-00000A010000}"/>
    <cellStyle name="Normal 4 3 2" xfId="268" xr:uid="{00000000-0005-0000-0000-00000B010000}"/>
    <cellStyle name="Normal 4 3 2 2" xfId="269" xr:uid="{00000000-0005-0000-0000-00000C010000}"/>
    <cellStyle name="Normal 4 3 3" xfId="270" xr:uid="{00000000-0005-0000-0000-00000D010000}"/>
    <cellStyle name="Normal 4 4" xfId="271" xr:uid="{00000000-0005-0000-0000-00000E010000}"/>
    <cellStyle name="Normal 4 4 2" xfId="272" xr:uid="{00000000-0005-0000-0000-00000F010000}"/>
    <cellStyle name="Normal 4 5" xfId="273" xr:uid="{00000000-0005-0000-0000-000010010000}"/>
    <cellStyle name="Normal 4 5 2" xfId="274" xr:uid="{00000000-0005-0000-0000-000011010000}"/>
    <cellStyle name="Normal 4 6" xfId="275" xr:uid="{00000000-0005-0000-0000-000012010000}"/>
    <cellStyle name="Normal 4 6 2" xfId="276" xr:uid="{00000000-0005-0000-0000-000013010000}"/>
    <cellStyle name="Normal 4 7" xfId="277" xr:uid="{00000000-0005-0000-0000-000014010000}"/>
    <cellStyle name="Normal 4 8" xfId="278" xr:uid="{00000000-0005-0000-0000-000015010000}"/>
    <cellStyle name="Normal 5" xfId="279" xr:uid="{00000000-0005-0000-0000-000016010000}"/>
    <cellStyle name="Normal 5 2" xfId="280" xr:uid="{00000000-0005-0000-0000-000017010000}"/>
    <cellStyle name="Normal 5 3" xfId="281" xr:uid="{00000000-0005-0000-0000-000018010000}"/>
    <cellStyle name="Normal 5 3 2" xfId="282" xr:uid="{00000000-0005-0000-0000-000019010000}"/>
    <cellStyle name="Normal 5 4" xfId="283" xr:uid="{00000000-0005-0000-0000-00001A010000}"/>
    <cellStyle name="Normal 5 5" xfId="284" xr:uid="{00000000-0005-0000-0000-00001B010000}"/>
    <cellStyle name="Normal 6" xfId="285" xr:uid="{00000000-0005-0000-0000-00001C010000}"/>
    <cellStyle name="Normal 6 2" xfId="286" xr:uid="{00000000-0005-0000-0000-00001D010000}"/>
    <cellStyle name="Normal 6 2 2" xfId="287" xr:uid="{00000000-0005-0000-0000-00001E010000}"/>
    <cellStyle name="Normal 6 2 3" xfId="288" xr:uid="{00000000-0005-0000-0000-00001F010000}"/>
    <cellStyle name="Normal 6 3" xfId="289" xr:uid="{00000000-0005-0000-0000-000020010000}"/>
    <cellStyle name="Normal 6 4" xfId="290" xr:uid="{00000000-0005-0000-0000-000021010000}"/>
    <cellStyle name="Normal 6 4 2" xfId="291" xr:uid="{00000000-0005-0000-0000-000022010000}"/>
    <cellStyle name="Normal 6 5" xfId="292" xr:uid="{00000000-0005-0000-0000-000023010000}"/>
    <cellStyle name="Normal 7" xfId="293" xr:uid="{00000000-0005-0000-0000-000024010000}"/>
    <cellStyle name="Normal 7 2" xfId="294" xr:uid="{00000000-0005-0000-0000-000025010000}"/>
    <cellStyle name="Normal 7 3" xfId="295" xr:uid="{00000000-0005-0000-0000-000026010000}"/>
    <cellStyle name="Normal 7 4" xfId="296" xr:uid="{00000000-0005-0000-0000-000027010000}"/>
    <cellStyle name="Normal 8" xfId="297" xr:uid="{00000000-0005-0000-0000-000028010000}"/>
    <cellStyle name="Normal 8 2" xfId="298" xr:uid="{00000000-0005-0000-0000-000029010000}"/>
    <cellStyle name="Normal 9" xfId="299" xr:uid="{00000000-0005-0000-0000-00002A010000}"/>
    <cellStyle name="Normal 9 2" xfId="300" xr:uid="{00000000-0005-0000-0000-00002B010000}"/>
    <cellStyle name="Percent" xfId="2" builtinId="5"/>
    <cellStyle name="Percent 2" xfId="301" xr:uid="{00000000-0005-0000-0000-00002D010000}"/>
    <cellStyle name="Percent 3" xfId="302" xr:uid="{00000000-0005-0000-0000-00002E010000}"/>
    <cellStyle name="Percent 4" xfId="303" xr:uid="{00000000-0005-0000-0000-00002F010000}"/>
    <cellStyle name="Percent 5" xfId="304" xr:uid="{00000000-0005-0000-0000-000030010000}"/>
    <cellStyle name="Pourcentage 2" xfId="305" xr:uid="{00000000-0005-0000-0000-000031010000}"/>
    <cellStyle name="Pourcentage 2 10" xfId="306" xr:uid="{00000000-0005-0000-0000-000032010000}"/>
    <cellStyle name="Pourcentage 2 2" xfId="307" xr:uid="{00000000-0005-0000-0000-000033010000}"/>
    <cellStyle name="Pourcentage 2 2 10" xfId="308" xr:uid="{00000000-0005-0000-0000-000034010000}"/>
    <cellStyle name="Pourcentage 2 2 2" xfId="309" xr:uid="{00000000-0005-0000-0000-000035010000}"/>
    <cellStyle name="Pourcentage 2 2 3" xfId="310" xr:uid="{00000000-0005-0000-0000-000036010000}"/>
    <cellStyle name="Pourcentage 2 2 4" xfId="311" xr:uid="{00000000-0005-0000-0000-000037010000}"/>
    <cellStyle name="Pourcentage 2 2 5" xfId="312" xr:uid="{00000000-0005-0000-0000-000038010000}"/>
    <cellStyle name="Pourcentage 2 2 6" xfId="313" xr:uid="{00000000-0005-0000-0000-000039010000}"/>
    <cellStyle name="Pourcentage 2 2 7" xfId="314" xr:uid="{00000000-0005-0000-0000-00003A010000}"/>
    <cellStyle name="Pourcentage 2 2 8" xfId="315" xr:uid="{00000000-0005-0000-0000-00003B010000}"/>
    <cellStyle name="Pourcentage 2 2 9" xfId="316" xr:uid="{00000000-0005-0000-0000-00003C010000}"/>
    <cellStyle name="Pourcentage 2 3" xfId="317" xr:uid="{00000000-0005-0000-0000-00003D010000}"/>
    <cellStyle name="Pourcentage 2 3 2" xfId="318" xr:uid="{00000000-0005-0000-0000-00003E010000}"/>
    <cellStyle name="Pourcentage 2 4" xfId="319" xr:uid="{00000000-0005-0000-0000-00003F010000}"/>
    <cellStyle name="Pourcentage 2 5" xfId="320" xr:uid="{00000000-0005-0000-0000-000040010000}"/>
    <cellStyle name="Pourcentage 2 6" xfId="321" xr:uid="{00000000-0005-0000-0000-000041010000}"/>
    <cellStyle name="Pourcentage 2 7" xfId="322" xr:uid="{00000000-0005-0000-0000-000042010000}"/>
    <cellStyle name="Pourcentage 2 8" xfId="323" xr:uid="{00000000-0005-0000-0000-000043010000}"/>
    <cellStyle name="Pourcentage 2 9" xfId="324" xr:uid="{00000000-0005-0000-0000-000044010000}"/>
    <cellStyle name="Pourcentage 3" xfId="325" xr:uid="{00000000-0005-0000-0000-000045010000}"/>
    <cellStyle name="Pourcentage 3 2" xfId="326" xr:uid="{00000000-0005-0000-0000-000046010000}"/>
    <cellStyle name="Pourcentage 4" xfId="327" xr:uid="{00000000-0005-0000-0000-000047010000}"/>
    <cellStyle name="Pourcentage 5" xfId="328" xr:uid="{00000000-0005-0000-0000-000048010000}"/>
    <cellStyle name="攀开搀攀开搀漀渀渀攀猀䌀爀椀琀攀爀攀猀娀漀渀攀开搀开椀洀瀀爀攀猀猀椀漀渀䤀洀瀀爀攀猀猀椀漀渀开搀攀猀开琀椀琀爀攀猀䘀漀渀挀琀椀漀渀开攀渀爀攀最椀猀琀爀攀洀攀渀琀䜀爀椀氀氀攀䄀甀琀漀开愀挀琀椀瘀攀爀䄀甀琀漀开搀攀猀愀挀琀椀瘀攀爀吀椀琀爀攀开搀攀开氀愀开昀攀甀椀氀氀攀开䘀椀氀琀攀爀䐀愀琀愀戀愀猀攀㌀㌀圀䬀㼀 匀攀琀琀椀渀最猀䰀漀愀搀开䌀栀愀爀琀开圀渀搀䄀䘀䔀䴀漀渀漀猀瀀愀挀攀䜀爀椀搀氀椀渀攀猀倀爀漀搀甀挀琀 䤀䐀ꀀ㨀 唀琀椀氀椀猀愀琀攀甀爀 椀渀挀漀渀渀甀嘀攀爀猀椀漀渀 渀漀渀 椀渀猀琀愀氀氀攀⨀⸀" xfId="329" xr:uid="{00000000-0005-0000-0000-000049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theme" Target="theme/theme1.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drawings/drawing1.xml><?xml version="1.0" encoding="utf-8"?>
<xdr:wsDr xmlns:xdr="http://schemas.openxmlformats.org/drawingml/2006/spreadsheetDrawing" xmlns:a="http://schemas.openxmlformats.org/drawingml/2006/main">
  <xdr:oneCellAnchor>
    <xdr:from>
      <xdr:col>0</xdr:col>
      <xdr:colOff>243894</xdr:colOff>
      <xdr:row>1</xdr:row>
      <xdr:rowOff>904875</xdr:rowOff>
    </xdr:from>
    <xdr:ext cx="184731" cy="264560"/>
    <xdr:sp macro="" textlink="">
      <xdr:nvSpPr>
        <xdr:cNvPr id="2" name="مربع نص 1">
          <a:extLst>
            <a:ext uri="{FF2B5EF4-FFF2-40B4-BE49-F238E27FC236}">
              <a16:creationId xmlns:a16="http://schemas.microsoft.com/office/drawing/2014/main" id="{00000000-0008-0000-0000-000002000000}"/>
            </a:ext>
          </a:extLst>
        </xdr:cNvPr>
        <xdr:cNvSpPr txBox="1"/>
      </xdr:nvSpPr>
      <xdr:spPr>
        <a:xfrm>
          <a:off x="37690425" y="904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rtl="1"/>
          <a:endParaRPr lang="fr-FR"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Users\Administrateur\AppData\Roaming\Microsoft\Excel\Users\MAISON%20XP\AppData\Roaming\Microsoft\Excel\Users\KHALAF_PC\Desktop\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2&#1600;%20&#1571;&#1585;&#1588;&#1610;&#1601;\&#1571;&#1585;&#1588;&#1610;&#1601;%202018\1&#1600;%20&#1605;&#1589;&#1575;&#1585;&#1610;&#1601;%20&#1575;&#1604;&#1605;&#1607;&#1605;&#1577;%202017.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Users\LARBI\Desktop\03-Situation%20PCD%2003-04-2022\MANDAT-NORMAL.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1575;&#1604;&#1587;&#1606;&#1577;%20&#1575;&#1604;&#1605;&#1575;&#1604;&#1610;&#1577;%202020\6&#1600;%20&#1575;&#1604;&#1601;&#1608;&#1575;&#1578;&#1610;&#1585;%202017.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Projets%20des%20Zones%20d'ombre%20par%20Secteurs\Users\MAISON%20XP\AppData\Roaming\Microsoft\Excel\D&#233;sicion.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Users\Administrateur\AppData\Roaming\Microsoft\Excel\Users\MAISON%20XP\AppData\Roaming\Microsoft\Excel\D&#233;sicion.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MAISON%20XP/AppData/Roaming/Microsoft/Excel/Users/KHALAF_PC/Desktop/23.xlsx" TargetMode="External"/><Relationship Id="rId1" Type="http://schemas.openxmlformats.org/officeDocument/2006/relationships/externalLinkPath" Target="/Users/MAISON%20XP/AppData/Roaming/Microsoft/Excel/Users/KHALAF_PC/Desktop/23.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1575;&#1604;&#1587;&#1606;&#1577;%20&#1575;&#1604;&#1605;&#1575;&#1604;&#1610;&#1577;%202020\&#1587;&#1580;&#1604;%20&#1575;&#1604;&#1581;&#1608;&#1575;&#1604;&#1575;&#1578;%20&#1605;&#1593;&#1583;&#1604;%202017.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Model-decicion-subvention-2023.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Projets%20des%20Zones%20d'ombre%20par%20Secteurs\Users\NABIL\Desktop\&#1575;&#1604;&#1605;&#1583;&#1610;&#1585;\&#1575;&#1604;&#1608;&#1575;&#1585;&#1583;\TABLEAU%20N&#176;7.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Users\LARBI\Desktop\03-Situation%20PCD%2003-04-2022\ALLAL\PHP.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Projets%20des%20Zones%20d'ombre%20par%20Secteurs\Users\NABIL\Desktop\&#1575;&#1604;&#1605;&#1583;&#1610;&#1585;\&#1575;&#1604;&#1589;&#1575;&#1583;&#1585;\31-03-2014.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27-03-2022\01-PCD%2028-03-2022\Situation%20PCD%202022\01-Situation%20PCD%2006-02-2022\Users\MAISON%20XP\AppData\Roaming\Microsoft\Excel\Users\MAISON%20XP\AppData\Roaming\Microsoft\Excel\Users\KHALAF_PC\Desktop\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2"/>
      <sheetName val="PEC PAR ANNE"/>
      <sheetName val="OPERATION (2)"/>
      <sheetName val="list commune"/>
      <sheetName val="Feuil4"/>
      <sheetName val="Feuil6"/>
      <sheetName val="Feuil5"/>
      <sheetName val="2011"/>
      <sheetName val="ecrit"/>
      <sheetName val="cons par mois"/>
      <sheetName val="Feuil8"/>
      <sheetName val="PEC"/>
      <sheetName val="CONS"/>
      <sheetName val="2010-2013"/>
      <sheetName val="PRG HPجاز"/>
      <sheetName val="PRG05-09"/>
      <sheetName val="clot"/>
      <sheetName val="CLOTURE01"/>
      <sheetName val="Feuil3"/>
    </sheetNames>
    <sheetDataSet>
      <sheetData sheetId="0"/>
      <sheetData sheetId="1"/>
      <sheetData sheetId="2"/>
      <sheetData sheetId="3">
        <row r="3">
          <cell r="A3">
            <v>127</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ZONE V "/>
      <sheetName val="BASE1"/>
      <sheetName val="BASE6"/>
      <sheetName val="BASE3"/>
      <sheetName val="BASE2"/>
      <sheetName val="BASE4"/>
      <sheetName val="BASE5"/>
      <sheetName val="LES OPERATION"/>
      <sheetName val="1"/>
      <sheetName val="2"/>
      <sheetName val="ENGAGEMENT"/>
      <sheetName val="REGISTRE MANDAT"/>
      <sheetName val="الأصلية"/>
      <sheetName val="الأصلية (3)"/>
      <sheetName val="BASE MANDAT"/>
      <sheetName val="MANDAT"/>
      <sheetName val="NOTIFICATION "/>
      <sheetName val="CH"/>
      <sheetName val="CH (2)"/>
      <sheetName val="وسيط"/>
      <sheetName val="العمليات"/>
      <sheetName val="يومية الحوالات"/>
      <sheetName val="جدول يدوي إحتياطي"/>
      <sheetName val="الجدول"/>
      <sheetName val="الإلتزام"/>
      <sheetName val="ورقة استشارية1"/>
      <sheetName val="ورقة استشارية2"/>
      <sheetName val="الأصلية (2)"/>
      <sheetName val="BASE MANDAT1"/>
      <sheetName val="الأصلية (4)"/>
      <sheetName val="BASE MANDAT1 (2)"/>
      <sheetName val="الأصلية (5)"/>
      <sheetName val="REGISTRE MANDAT (2)"/>
      <sheetName val="ورقة1"/>
    </sheetNames>
    <sheetDataSet>
      <sheetData sheetId="0"/>
      <sheetData sheetId="1"/>
      <sheetData sheetId="2"/>
      <sheetData sheetId="3"/>
      <sheetData sheetId="4">
        <row r="5">
          <cell r="B5" t="str">
            <v>بـن موسـى فاتـح</v>
          </cell>
        </row>
        <row r="6">
          <cell r="B6" t="str">
            <v>بونـاب محمـد</v>
          </cell>
        </row>
        <row r="7">
          <cell r="B7" t="str">
            <v>تركـي النـواري</v>
          </cell>
        </row>
        <row r="8">
          <cell r="B8" t="str">
            <v>زغـوغ جمـال</v>
          </cell>
        </row>
        <row r="9">
          <cell r="B9" t="str">
            <v>غـدادة عبـد الحميـد</v>
          </cell>
        </row>
        <row r="10">
          <cell r="B10" t="str">
            <v>أحديبـي مقـري</v>
          </cell>
        </row>
        <row r="11">
          <cell r="B11" t="str">
            <v>أرفيـس سعـد</v>
          </cell>
        </row>
        <row r="12">
          <cell r="B12" t="str">
            <v>أرفيـس سميـرة</v>
          </cell>
        </row>
        <row r="13">
          <cell r="B13" t="str">
            <v>أرفيـس عامـر</v>
          </cell>
        </row>
        <row r="14">
          <cell r="B14" t="str">
            <v>أرفيـس عبـد القـادر</v>
          </cell>
        </row>
        <row r="15">
          <cell r="B15" t="str">
            <v>أرفيـس علـي</v>
          </cell>
        </row>
        <row r="16">
          <cell r="B16" t="str">
            <v>الحمـاس إبراهيـم</v>
          </cell>
        </row>
        <row r="17">
          <cell r="B17" t="str">
            <v>السبـع أحمـد</v>
          </cell>
        </row>
        <row r="18">
          <cell r="B18" t="str">
            <v>الصيـد ناصـر</v>
          </cell>
        </row>
        <row r="19">
          <cell r="B19" t="str">
            <v>العايـب الطاهـر</v>
          </cell>
        </row>
        <row r="20">
          <cell r="B20" t="str">
            <v>العطـري عبـد الحفيـظ</v>
          </cell>
        </row>
        <row r="21">
          <cell r="B21" t="str">
            <v>العنـاق جمـال</v>
          </cell>
        </row>
        <row r="22">
          <cell r="B22" t="str">
            <v>الهـادي أحمـد</v>
          </cell>
        </row>
        <row r="23">
          <cell r="B23" t="str">
            <v>أوعيـل عبـد الـرزاق</v>
          </cell>
        </row>
        <row r="24">
          <cell r="B24" t="str">
            <v>باهـي الطيـب</v>
          </cell>
        </row>
        <row r="25">
          <cell r="B25" t="str">
            <v>بختـي جميلـة</v>
          </cell>
        </row>
        <row r="26">
          <cell r="B26" t="str">
            <v>بختـي رشيـدة</v>
          </cell>
        </row>
        <row r="27">
          <cell r="B27" t="str">
            <v>بختـي سعـاد</v>
          </cell>
        </row>
        <row r="28">
          <cell r="B28" t="str">
            <v>برابـح الحـاج</v>
          </cell>
        </row>
        <row r="29">
          <cell r="B29" t="str">
            <v>برابـح فـاروق</v>
          </cell>
        </row>
        <row r="30">
          <cell r="B30" t="str">
            <v>برابـح محمـد</v>
          </cell>
        </row>
        <row r="31">
          <cell r="B31" t="str">
            <v>بربـاش عبـد الكريـم</v>
          </cell>
        </row>
        <row r="32">
          <cell r="B32" t="str">
            <v>بركـات رزيقـة</v>
          </cell>
        </row>
        <row r="33">
          <cell r="B33" t="str">
            <v>بركـة الزهـرة</v>
          </cell>
        </row>
        <row r="34">
          <cell r="B34" t="str">
            <v>بريـش سميـر</v>
          </cell>
        </row>
        <row r="35">
          <cell r="B35" t="str">
            <v>بريكـي عبـد الـرزاق</v>
          </cell>
        </row>
        <row r="36">
          <cell r="B36" t="str">
            <v>بشيـر راضيـة</v>
          </cell>
        </row>
        <row r="37">
          <cell r="B37" t="str">
            <v>بشيـري البشيـر</v>
          </cell>
        </row>
        <row r="38">
          <cell r="B38" t="str">
            <v>بشيـري محمـد الطاهـر</v>
          </cell>
        </row>
        <row r="39">
          <cell r="B39" t="str">
            <v>بعجـي سهيلـة</v>
          </cell>
        </row>
        <row r="40">
          <cell r="B40" t="str">
            <v>بعلـي عائشـة</v>
          </cell>
        </row>
        <row r="41">
          <cell r="B41" t="str">
            <v>بغـدادي نجـوى</v>
          </cell>
        </row>
        <row r="42">
          <cell r="B42" t="str">
            <v>بقـاش شهـرزاد</v>
          </cell>
        </row>
        <row r="43">
          <cell r="B43" t="str">
            <v>بكـوش خضـرة</v>
          </cell>
        </row>
        <row r="44">
          <cell r="B44" t="str">
            <v>بكيـري حكيمـة</v>
          </cell>
        </row>
        <row r="45">
          <cell r="B45" t="str">
            <v>بـلال كريمـة</v>
          </cell>
        </row>
        <row r="46">
          <cell r="B46" t="str">
            <v>بلحـاج أسمـاء</v>
          </cell>
        </row>
        <row r="47">
          <cell r="B47" t="str">
            <v>بلطـرش الميلـود</v>
          </cell>
        </row>
        <row r="48">
          <cell r="B48" t="str">
            <v>بلطـرش عبـد الناصـر</v>
          </cell>
        </row>
        <row r="49">
          <cell r="B49" t="str">
            <v>بلعايبـة عبـد الوهـاب</v>
          </cell>
        </row>
        <row r="50">
          <cell r="B50" t="str">
            <v>بلعيطـر عامـر</v>
          </cell>
        </row>
        <row r="51">
          <cell r="B51" t="str">
            <v>بلقـلاوي لخضـر</v>
          </cell>
        </row>
        <row r="52">
          <cell r="B52" t="str">
            <v>بلقليـل نـور الديـن</v>
          </cell>
        </row>
        <row r="53">
          <cell r="B53" t="str">
            <v>بلقيبـش عبـد القـادر</v>
          </cell>
        </row>
        <row r="54">
          <cell r="B54" t="str">
            <v>بلمختـار الحسيـن</v>
          </cell>
        </row>
        <row r="55">
          <cell r="B55" t="str">
            <v>بلهـادي مفتـاح</v>
          </cell>
        </row>
        <row r="56">
          <cell r="B56" t="str">
            <v>بلهـادي هتـاك</v>
          </cell>
        </row>
        <row r="57">
          <cell r="B57" t="str">
            <v>بلواضـح حـدة</v>
          </cell>
        </row>
        <row r="58">
          <cell r="B58" t="str">
            <v>بلواضـح فرحـات</v>
          </cell>
        </row>
        <row r="59">
          <cell r="B59" t="str">
            <v>بلواضـح محمـد</v>
          </cell>
        </row>
        <row r="60">
          <cell r="B60" t="str">
            <v>بلوذينـي خالـد</v>
          </cell>
        </row>
        <row r="61">
          <cell r="B61" t="str">
            <v>بـن البـار فطـوم</v>
          </cell>
        </row>
        <row r="62">
          <cell r="B62" t="str">
            <v>بـن التومـي عبـد الكريـم</v>
          </cell>
        </row>
        <row r="63">
          <cell r="B63" t="str">
            <v>بـن بلخيـر مـراد</v>
          </cell>
        </row>
        <row r="64">
          <cell r="B64" t="str">
            <v>بـن بوزيـد توفيـق</v>
          </cell>
        </row>
        <row r="65">
          <cell r="B65" t="str">
            <v>بـن خالـد عبـد الحليـم</v>
          </cell>
        </row>
        <row r="66">
          <cell r="B66" t="str">
            <v>بـن خالـد مـراد</v>
          </cell>
        </row>
        <row r="67">
          <cell r="B67" t="str">
            <v>بـن روان محمـد الطاهـر</v>
          </cell>
        </row>
        <row r="68">
          <cell r="B68" t="str">
            <v>بـن ساحـة السعيـد</v>
          </cell>
        </row>
        <row r="69">
          <cell r="B69" t="str">
            <v>بـن سلطـان محمـد</v>
          </cell>
        </row>
        <row r="70">
          <cell r="B70" t="str">
            <v>بـن سليمـان فاطمـة الزهـراء</v>
          </cell>
        </row>
        <row r="71">
          <cell r="B71" t="str">
            <v>بـن شايـب يوسـف</v>
          </cell>
        </row>
        <row r="72">
          <cell r="B72" t="str">
            <v>بـن شعبـان نجـاة</v>
          </cell>
        </row>
        <row r="73">
          <cell r="B73" t="str">
            <v>بـن طريـو الطيـب</v>
          </cell>
        </row>
        <row r="74">
          <cell r="B74" t="str">
            <v>بـن عبـد الرحمـان جـلال</v>
          </cell>
        </row>
        <row r="75">
          <cell r="B75" t="str">
            <v>بـن عبـد الرحمـان محمـد</v>
          </cell>
        </row>
        <row r="76">
          <cell r="B76" t="str">
            <v>بـن عيسـى أحمـد</v>
          </cell>
        </row>
        <row r="77">
          <cell r="B77" t="str">
            <v>بـن عيسـى الحسيـن</v>
          </cell>
        </row>
        <row r="78">
          <cell r="B78" t="str">
            <v>بـن عيسـى حميـدة</v>
          </cell>
        </row>
        <row r="79">
          <cell r="B79" t="str">
            <v>بـن عيسـى سلامـي</v>
          </cell>
        </row>
        <row r="80">
          <cell r="B80" t="str">
            <v>بـن كـران الطيـب</v>
          </cell>
        </row>
        <row r="81">
          <cell r="B81" t="str">
            <v>بـن لعقـاب محمـد</v>
          </cell>
        </row>
        <row r="82">
          <cell r="B82" t="str">
            <v>بـن محجوبـة قسـوم</v>
          </cell>
        </row>
        <row r="83">
          <cell r="B83" t="str">
            <v>بـن ناصـر عبـد الحميـد</v>
          </cell>
        </row>
        <row r="84">
          <cell r="B84" t="str">
            <v>بـن نويـوة فاطمـة</v>
          </cell>
        </row>
        <row r="85">
          <cell r="B85" t="str">
            <v>بـن هنيـة رفيـق</v>
          </cell>
        </row>
        <row r="86">
          <cell r="B86" t="str">
            <v>بوبعايـة صبرينـة فتـح الزهـور</v>
          </cell>
        </row>
        <row r="87">
          <cell r="B87" t="str">
            <v>بوبكـري عبـد الحميـد</v>
          </cell>
        </row>
        <row r="88">
          <cell r="B88" t="str">
            <v>بوخلـط لعريبـي</v>
          </cell>
        </row>
        <row r="89">
          <cell r="B89" t="str">
            <v>بودربالـة عائشـة</v>
          </cell>
        </row>
        <row r="90">
          <cell r="B90" t="str">
            <v>بـودور النذيـر</v>
          </cell>
        </row>
        <row r="91">
          <cell r="B91" t="str">
            <v>بوذينـة منصـور</v>
          </cell>
        </row>
        <row r="92">
          <cell r="B92" t="str">
            <v>بورحلـة نصـر الديـن</v>
          </cell>
        </row>
        <row r="93">
          <cell r="B93" t="str">
            <v>بورحلـة نـور الديـن</v>
          </cell>
        </row>
        <row r="94">
          <cell r="B94" t="str">
            <v>بـورزق عيسـى</v>
          </cell>
        </row>
        <row r="95">
          <cell r="B95" t="str">
            <v>بوزيـان عـز الديـن</v>
          </cell>
        </row>
        <row r="96">
          <cell r="B96" t="str">
            <v>بوزيـدي أحمـد</v>
          </cell>
        </row>
        <row r="97">
          <cell r="B97" t="str">
            <v>بوزيـدي شفيقـة</v>
          </cell>
        </row>
        <row r="98">
          <cell r="B98" t="str">
            <v>بوزيـدي محمـد</v>
          </cell>
        </row>
        <row r="99">
          <cell r="B99" t="str">
            <v>بوسـاق عبـد الـرؤوف</v>
          </cell>
        </row>
        <row r="100">
          <cell r="B100" t="str">
            <v>بوسكـرة بوعـلام</v>
          </cell>
        </row>
        <row r="101">
          <cell r="B101" t="str">
            <v>بوشلالـق سميـرة</v>
          </cell>
        </row>
        <row r="102">
          <cell r="B102" t="str">
            <v>بوشيبـة كمـال</v>
          </cell>
        </row>
        <row r="103">
          <cell r="B103" t="str">
            <v>بوشيبـة محمـد</v>
          </cell>
        </row>
        <row r="104">
          <cell r="B104" t="str">
            <v>بوصبـع السعيـد</v>
          </cell>
        </row>
        <row r="105">
          <cell r="B105" t="str">
            <v>بوصبـع قويـدر</v>
          </cell>
        </row>
        <row r="106">
          <cell r="B106" t="str">
            <v>بوعـلام علـي</v>
          </cell>
        </row>
        <row r="107">
          <cell r="B107" t="str">
            <v>بوعيشـة جمـال</v>
          </cell>
        </row>
        <row r="108">
          <cell r="B108" t="str">
            <v>بوغـرارة بولنـوار</v>
          </cell>
        </row>
        <row r="109">
          <cell r="B109" t="str">
            <v>بوغـرارة عبـد اللـه</v>
          </cell>
        </row>
        <row r="110">
          <cell r="B110" t="str">
            <v>بوفنـارة آمنـة</v>
          </cell>
        </row>
        <row r="111">
          <cell r="B111" t="str">
            <v>بوقـرة خالـد</v>
          </cell>
        </row>
        <row r="112">
          <cell r="B112" t="str">
            <v>بوقـرة طـارق</v>
          </cell>
        </row>
        <row r="113">
          <cell r="B113" t="str">
            <v>بوقزولـة مسعـود</v>
          </cell>
        </row>
        <row r="114">
          <cell r="B114" t="str">
            <v>بـولال أحمـد</v>
          </cell>
        </row>
        <row r="115">
          <cell r="B115" t="str">
            <v>تركـي عمـر</v>
          </cell>
        </row>
        <row r="116">
          <cell r="B116" t="str">
            <v>تلـي عمـر</v>
          </cell>
        </row>
        <row r="117">
          <cell r="B117" t="str">
            <v>تميـرة عامـر</v>
          </cell>
        </row>
        <row r="118">
          <cell r="B118" t="str">
            <v>تنـاح أوريـدة</v>
          </cell>
        </row>
        <row r="119">
          <cell r="B119" t="str">
            <v>تنـاح حفصـة</v>
          </cell>
        </row>
        <row r="120">
          <cell r="B120" t="str">
            <v>تواتيـت ليلـى</v>
          </cell>
        </row>
        <row r="121">
          <cell r="B121" t="str">
            <v>تومـي حسيـن</v>
          </cell>
        </row>
        <row r="122">
          <cell r="B122" t="str">
            <v>توميـات كمـال</v>
          </cell>
        </row>
        <row r="123">
          <cell r="B123" t="str">
            <v>تونسـي وردة</v>
          </cell>
        </row>
        <row r="124">
          <cell r="B124" t="str">
            <v>ثامـري رشيـد</v>
          </cell>
        </row>
        <row r="125">
          <cell r="B125" t="str">
            <v>جـاب اللـه منـور</v>
          </cell>
        </row>
        <row r="126">
          <cell r="B126" t="str">
            <v>جبـاري سالـم</v>
          </cell>
        </row>
        <row r="127">
          <cell r="B127" t="str">
            <v>جبلاحـي عبـد النـور</v>
          </cell>
        </row>
        <row r="128">
          <cell r="B128" t="str">
            <v>جريـو نـوال</v>
          </cell>
        </row>
        <row r="129">
          <cell r="B129" t="str">
            <v>جعيجـع جميلـة</v>
          </cell>
        </row>
        <row r="130">
          <cell r="B130" t="str">
            <v>جعيجـع خضـرة</v>
          </cell>
        </row>
        <row r="131">
          <cell r="B131" t="str">
            <v>جعيجـع نـور الديـن</v>
          </cell>
        </row>
        <row r="132">
          <cell r="B132" t="str">
            <v>جعيجـع وردة</v>
          </cell>
        </row>
        <row r="133">
          <cell r="B133" t="str">
            <v>جغـام عمـر</v>
          </cell>
        </row>
        <row r="134">
          <cell r="B134" t="str">
            <v>جلـودي الطيـب</v>
          </cell>
        </row>
        <row r="135">
          <cell r="B135" t="str">
            <v>جميـات فتيحـة</v>
          </cell>
        </row>
        <row r="136">
          <cell r="B136" t="str">
            <v>جميلـي نبيـل</v>
          </cell>
        </row>
        <row r="137">
          <cell r="B137" t="str">
            <v>جنيـدي مـراد</v>
          </cell>
        </row>
        <row r="138">
          <cell r="B138" t="str">
            <v>جـوادي فـوزي</v>
          </cell>
        </row>
        <row r="139">
          <cell r="B139" t="str">
            <v>جيـدل حمـزة</v>
          </cell>
        </row>
        <row r="140">
          <cell r="B140" t="str">
            <v>حـاج عروسـي فضيـل</v>
          </cell>
        </row>
        <row r="141">
          <cell r="B141" t="str">
            <v>حاجـي رابـح</v>
          </cell>
        </row>
        <row r="142">
          <cell r="B142" t="str">
            <v>حاجيـح عيسـى</v>
          </cell>
        </row>
        <row r="143">
          <cell r="B143" t="str">
            <v>حبـوش فاطمـة</v>
          </cell>
        </row>
        <row r="144">
          <cell r="B144" t="str">
            <v>حديبـي مصطفـى</v>
          </cell>
        </row>
        <row r="145">
          <cell r="B145" t="str">
            <v>حرايـز ربيحـة</v>
          </cell>
        </row>
        <row r="146">
          <cell r="B146" t="str">
            <v>حرحـوز السعيـد</v>
          </cell>
        </row>
        <row r="147">
          <cell r="B147" t="str">
            <v>حرحـوز خالـد</v>
          </cell>
        </row>
        <row r="148">
          <cell r="B148" t="str">
            <v>حـرود صالـح</v>
          </cell>
        </row>
        <row r="149">
          <cell r="B149" t="str">
            <v>حـروق الحـاج</v>
          </cell>
        </row>
        <row r="150">
          <cell r="B150" t="str">
            <v>حريـزي مخلـوف</v>
          </cell>
        </row>
        <row r="151">
          <cell r="B151" t="str">
            <v>حريـزي مريـة</v>
          </cell>
        </row>
        <row r="152">
          <cell r="B152" t="str">
            <v>حسنـاوي عبـد الناصـر</v>
          </cell>
        </row>
        <row r="153">
          <cell r="B153" t="str">
            <v>حشـادي يوسـف</v>
          </cell>
        </row>
        <row r="154">
          <cell r="B154" t="str">
            <v>حليتيـم وهيبـة</v>
          </cell>
        </row>
        <row r="155">
          <cell r="B155" t="str">
            <v>حمـادي مـراد</v>
          </cell>
        </row>
        <row r="156">
          <cell r="B156" t="str">
            <v>حمـاش نـور الديـن</v>
          </cell>
        </row>
        <row r="157">
          <cell r="B157" t="str">
            <v>حمريـط عقبـة</v>
          </cell>
        </row>
        <row r="158">
          <cell r="B158" t="str">
            <v>حمـود عبـد النـور</v>
          </cell>
        </row>
        <row r="159">
          <cell r="B159" t="str">
            <v>حميطيـش عبـد القـادر</v>
          </cell>
        </row>
        <row r="160">
          <cell r="B160" t="str">
            <v>حنـة بـن قويـدر</v>
          </cell>
        </row>
        <row r="161">
          <cell r="B161" t="str">
            <v>حيـران مفتـاح</v>
          </cell>
        </row>
        <row r="162">
          <cell r="B162" t="str">
            <v>حيمـر لخضـر</v>
          </cell>
        </row>
        <row r="163">
          <cell r="B163" t="str">
            <v>خطوطـي مفتـاح</v>
          </cell>
        </row>
        <row r="164">
          <cell r="B164" t="str">
            <v>خلوفـي النـوي</v>
          </cell>
        </row>
        <row r="165">
          <cell r="B165" t="str">
            <v>خميلـي أحمـد</v>
          </cell>
        </row>
        <row r="166">
          <cell r="B166" t="str">
            <v>خنـوس لحسـن</v>
          </cell>
        </row>
        <row r="167">
          <cell r="B167" t="str">
            <v>خوجـة العيـد</v>
          </cell>
        </row>
        <row r="168">
          <cell r="B168" t="str">
            <v>خوجـة ثوريـة</v>
          </cell>
        </row>
        <row r="169">
          <cell r="B169" t="str">
            <v>خوجـة دليلـة</v>
          </cell>
        </row>
        <row r="170">
          <cell r="B170" t="str">
            <v>خوجـة رابـح</v>
          </cell>
        </row>
        <row r="171">
          <cell r="B171" t="str">
            <v>خيروانـي حوريـة</v>
          </cell>
        </row>
        <row r="172">
          <cell r="B172" t="str">
            <v>دالـي فضيلـة</v>
          </cell>
        </row>
        <row r="173">
          <cell r="B173" t="str">
            <v>دحـدوح أحمـد</v>
          </cell>
        </row>
        <row r="174">
          <cell r="B174" t="str">
            <v>دحمانـي جمـال</v>
          </cell>
        </row>
        <row r="175">
          <cell r="B175" t="str">
            <v>دحمانـي خليـل</v>
          </cell>
        </row>
        <row r="176">
          <cell r="B176" t="str">
            <v>دغفـل كمـال</v>
          </cell>
        </row>
        <row r="177">
          <cell r="B177" t="str">
            <v>دغفـل مليكـة</v>
          </cell>
        </row>
        <row r="178">
          <cell r="B178" t="str">
            <v>دهيمـي أحمـد</v>
          </cell>
        </row>
        <row r="179">
          <cell r="B179" t="str">
            <v>دوسـن محمـد</v>
          </cell>
        </row>
        <row r="180">
          <cell r="B180" t="str">
            <v>ديلمـي عبـد الغنـي</v>
          </cell>
        </row>
        <row r="181">
          <cell r="B181" t="str">
            <v>ديلمـي عمـار</v>
          </cell>
        </row>
        <row r="182">
          <cell r="B182" t="str">
            <v>ذبيـح عبـد اللـه</v>
          </cell>
        </row>
        <row r="183">
          <cell r="B183" t="str">
            <v>ذوابـة مصطفـى</v>
          </cell>
        </row>
        <row r="184">
          <cell r="B184" t="str">
            <v>رابحـي محمـد</v>
          </cell>
        </row>
        <row r="185">
          <cell r="B185" t="str">
            <v>رباحـي سهيلـة</v>
          </cell>
        </row>
        <row r="186">
          <cell r="B186" t="str">
            <v>ربانـي سميـة</v>
          </cell>
        </row>
        <row r="187">
          <cell r="B187" t="str">
            <v>رحـال عبـد الـرزاق</v>
          </cell>
        </row>
        <row r="188">
          <cell r="B188" t="str">
            <v>رحمانـي يحـي</v>
          </cell>
        </row>
        <row r="189">
          <cell r="B189" t="str">
            <v>رحمـاوي مهنيـة</v>
          </cell>
        </row>
        <row r="190">
          <cell r="B190" t="str">
            <v>رقـوب صبيـرة</v>
          </cell>
        </row>
        <row r="191">
          <cell r="B191" t="str">
            <v>رقيـق عمـار</v>
          </cell>
        </row>
        <row r="192">
          <cell r="B192" t="str">
            <v>ركبـة سميـر</v>
          </cell>
        </row>
        <row r="193">
          <cell r="B193" t="str">
            <v>روان العمـراوي</v>
          </cell>
        </row>
        <row r="194">
          <cell r="B194" t="str">
            <v>رويبـي حنـان</v>
          </cell>
        </row>
        <row r="195">
          <cell r="B195" t="str">
            <v>روينـي عبـد الحميـد</v>
          </cell>
        </row>
        <row r="196">
          <cell r="B196" t="str">
            <v>ريـان عمـر</v>
          </cell>
        </row>
        <row r="197">
          <cell r="B197" t="str">
            <v>زابـي رابـح</v>
          </cell>
        </row>
        <row r="198">
          <cell r="B198" t="str">
            <v>زابـي محمـد</v>
          </cell>
        </row>
        <row r="199">
          <cell r="B199" t="str">
            <v>زاهـوي لخضـر</v>
          </cell>
        </row>
        <row r="200">
          <cell r="B200" t="str">
            <v>زايـدي الربيـع</v>
          </cell>
        </row>
        <row r="201">
          <cell r="B201" t="str">
            <v>زايـدي عبـد المجيـد</v>
          </cell>
        </row>
        <row r="202">
          <cell r="B202" t="str">
            <v>زايـدي مـروان</v>
          </cell>
        </row>
        <row r="203">
          <cell r="B203" t="str">
            <v>زبيـري علـي</v>
          </cell>
        </row>
        <row r="204">
          <cell r="B204" t="str">
            <v>زردة عبـد القـادر</v>
          </cell>
        </row>
        <row r="205">
          <cell r="B205" t="str">
            <v>زرقونـي عبـد اللـه</v>
          </cell>
        </row>
        <row r="206">
          <cell r="B206" t="str">
            <v>زرواق النـواري</v>
          </cell>
        </row>
        <row r="207">
          <cell r="B207" t="str">
            <v>زروقـي علـي</v>
          </cell>
        </row>
        <row r="208">
          <cell r="B208" t="str">
            <v>زريـق الزوبيـر</v>
          </cell>
        </row>
        <row r="209">
          <cell r="B209" t="str">
            <v>زريـق نـور الديـن</v>
          </cell>
        </row>
        <row r="210">
          <cell r="B210" t="str">
            <v>زوازة مصطفـى</v>
          </cell>
        </row>
        <row r="211">
          <cell r="B211" t="str">
            <v>زواوي مليكـة</v>
          </cell>
        </row>
        <row r="212">
          <cell r="B212" t="str">
            <v>زيـام يمينـة</v>
          </cell>
        </row>
        <row r="213">
          <cell r="B213" t="str">
            <v>زيـان رشيـدة</v>
          </cell>
        </row>
        <row r="214">
          <cell r="B214" t="str">
            <v>زيـان مسعـود</v>
          </cell>
        </row>
        <row r="215">
          <cell r="B215" t="str">
            <v>زيـان ناديـة</v>
          </cell>
        </row>
        <row r="216">
          <cell r="B216" t="str">
            <v>زيتونـي اليـاس</v>
          </cell>
        </row>
        <row r="217">
          <cell r="B217" t="str">
            <v>سالـم زيـن العابديـن</v>
          </cell>
        </row>
        <row r="218">
          <cell r="B218" t="str">
            <v>سالـم سعـاد</v>
          </cell>
        </row>
        <row r="219">
          <cell r="B219" t="str">
            <v>سالـم محمـد</v>
          </cell>
        </row>
        <row r="220">
          <cell r="B220" t="str">
            <v>سالمـي الجمعـي</v>
          </cell>
        </row>
        <row r="221">
          <cell r="B221" t="str">
            <v>سالمـي عبـد الحليـم</v>
          </cell>
        </row>
        <row r="222">
          <cell r="B222" t="str">
            <v>سحنـون ليلـى</v>
          </cell>
        </row>
        <row r="223">
          <cell r="B223" t="str">
            <v>سعـدون الدراجـي</v>
          </cell>
        </row>
        <row r="224">
          <cell r="B224" t="str">
            <v>سعـودي عائشـة</v>
          </cell>
        </row>
        <row r="225">
          <cell r="B225" t="str">
            <v>سعيـد فوزيـة</v>
          </cell>
        </row>
        <row r="226">
          <cell r="B226" t="str">
            <v>سلامـي نصـر الديـن</v>
          </cell>
        </row>
        <row r="227">
          <cell r="B227" t="str">
            <v>سلمـان بلقاسـم</v>
          </cell>
        </row>
        <row r="228">
          <cell r="B228" t="str">
            <v>سلمانـي نـور الديـن</v>
          </cell>
        </row>
        <row r="229">
          <cell r="B229" t="str">
            <v>سليمانـي فايـزة</v>
          </cell>
        </row>
        <row r="230">
          <cell r="B230" t="str">
            <v>سلينـي كمـال</v>
          </cell>
        </row>
        <row r="231">
          <cell r="B231" t="str">
            <v>سويكـر زينـب</v>
          </cell>
        </row>
        <row r="232">
          <cell r="B232" t="str">
            <v>شابـي محمـد</v>
          </cell>
        </row>
        <row r="233">
          <cell r="B233" t="str">
            <v>شاكـي أحمـد</v>
          </cell>
        </row>
        <row r="234">
          <cell r="B234" t="str">
            <v>شامـي ساميـة</v>
          </cell>
        </row>
        <row r="235">
          <cell r="B235" t="str">
            <v>شبيـرة جمـال</v>
          </cell>
        </row>
        <row r="236">
          <cell r="B236" t="str">
            <v>شرقـي جمـال</v>
          </cell>
        </row>
        <row r="237">
          <cell r="B237" t="str">
            <v>شريـف عيسـى</v>
          </cell>
        </row>
        <row r="238">
          <cell r="B238" t="str">
            <v>شريـك الصـادق</v>
          </cell>
        </row>
        <row r="239">
          <cell r="B239" t="str">
            <v>شعبانـي دحمـان</v>
          </cell>
        </row>
        <row r="240">
          <cell r="B240" t="str">
            <v>شمينـي عبـد الحميـد</v>
          </cell>
        </row>
        <row r="241">
          <cell r="B241" t="str">
            <v>شنبـي عمـر</v>
          </cell>
        </row>
        <row r="242">
          <cell r="B242" t="str">
            <v>شيتـور فاطمـة زهـرة</v>
          </cell>
        </row>
        <row r="243">
          <cell r="B243" t="str">
            <v>شيخـاوي حوريـة</v>
          </cell>
        </row>
        <row r="244">
          <cell r="B244" t="str">
            <v>شيخـاوي سليمـان</v>
          </cell>
        </row>
        <row r="245">
          <cell r="B245" t="str">
            <v>شيخـي المسعـود</v>
          </cell>
        </row>
        <row r="246">
          <cell r="B246" t="str">
            <v>شيخـي محجوبـة</v>
          </cell>
        </row>
        <row r="247">
          <cell r="B247" t="str">
            <v>صحـراوي ياسيـن</v>
          </cell>
        </row>
        <row r="248">
          <cell r="B248" t="str">
            <v>صخـارة مصطفـى</v>
          </cell>
        </row>
        <row r="249">
          <cell r="B249" t="str">
            <v>صخـري عبـد الصمـد</v>
          </cell>
        </row>
        <row r="250">
          <cell r="B250" t="str">
            <v>صديقـي الطاهـر</v>
          </cell>
        </row>
        <row r="251">
          <cell r="B251" t="str">
            <v>صديقـي جمـال</v>
          </cell>
        </row>
        <row r="252">
          <cell r="B252" t="str">
            <v>صغيـور محمـد</v>
          </cell>
        </row>
        <row r="253">
          <cell r="B253" t="str">
            <v>صـواش لويـزة</v>
          </cell>
        </row>
        <row r="254">
          <cell r="B254" t="str">
            <v>صيـد النذيـر</v>
          </cell>
        </row>
        <row r="255">
          <cell r="B255" t="str">
            <v>ضبـاب الترعـي</v>
          </cell>
        </row>
        <row r="256">
          <cell r="B256" t="str">
            <v>طعشـوش العيـد</v>
          </cell>
        </row>
        <row r="257">
          <cell r="B257" t="str">
            <v>طقيـش فاتـح</v>
          </cell>
        </row>
        <row r="258">
          <cell r="B258" t="str">
            <v>طـلاب أم الخيـر</v>
          </cell>
        </row>
        <row r="259">
          <cell r="B259" t="str">
            <v>طويـرات حمـزة</v>
          </cell>
        </row>
        <row r="260">
          <cell r="B260" t="str">
            <v>طيايبـة إسماعيـل</v>
          </cell>
        </row>
        <row r="261">
          <cell r="B261" t="str">
            <v>طيبـي فطيمـة</v>
          </cell>
        </row>
        <row r="262">
          <cell r="B262" t="str">
            <v>عابـد عمـر</v>
          </cell>
        </row>
        <row r="263">
          <cell r="B263" t="str">
            <v>عبـاس يمينـة</v>
          </cell>
        </row>
        <row r="264">
          <cell r="B264" t="str">
            <v>عباسـي أحمـد</v>
          </cell>
        </row>
        <row r="265">
          <cell r="B265" t="str">
            <v>عباسـي فاطنـة</v>
          </cell>
        </row>
        <row r="266">
          <cell r="B266" t="str">
            <v>عبـد العالـي عبـد القـادر</v>
          </cell>
        </row>
        <row r="267">
          <cell r="B267" t="str">
            <v>عبـد الـلاوي النـوي</v>
          </cell>
        </row>
        <row r="268">
          <cell r="B268" t="str">
            <v>عبـد المؤمـن إبراهيـم</v>
          </cell>
        </row>
        <row r="269">
          <cell r="B269" t="str">
            <v>عجيمـي الزهـرة</v>
          </cell>
        </row>
        <row r="270">
          <cell r="B270" t="str">
            <v>عـدوي كمـال</v>
          </cell>
        </row>
        <row r="271">
          <cell r="B271" t="str">
            <v>عـدي العيـد</v>
          </cell>
        </row>
        <row r="272">
          <cell r="B272" t="str">
            <v>عريبـي مسعـود</v>
          </cell>
        </row>
        <row r="273">
          <cell r="B273" t="str">
            <v>عريـوة بوزيـان</v>
          </cell>
        </row>
        <row r="274">
          <cell r="B274" t="str">
            <v>عريـوة فيصـل</v>
          </cell>
        </row>
        <row r="275">
          <cell r="B275" t="str">
            <v>عـزوق المخلوفـي</v>
          </cell>
        </row>
        <row r="276">
          <cell r="B276" t="str">
            <v>عـزي أحمـد</v>
          </cell>
        </row>
        <row r="277">
          <cell r="B277" t="str">
            <v>عزيـزي رضـوان</v>
          </cell>
        </row>
        <row r="278">
          <cell r="B278" t="str">
            <v>عزيـزي ليلـى</v>
          </cell>
        </row>
        <row r="279">
          <cell r="B279" t="str">
            <v>عزيـزي نريمـان</v>
          </cell>
        </row>
        <row r="280">
          <cell r="B280" t="str">
            <v>عطابـي ساعـد</v>
          </cell>
        </row>
        <row r="281">
          <cell r="B281" t="str">
            <v>عطـار سهـام</v>
          </cell>
        </row>
        <row r="282">
          <cell r="B282" t="str">
            <v>عطـلاوي محمـد</v>
          </cell>
        </row>
        <row r="283">
          <cell r="B283" t="str">
            <v>عقريـب فضيلـة</v>
          </cell>
        </row>
        <row r="284">
          <cell r="B284" t="str">
            <v>عقـون وردة</v>
          </cell>
        </row>
        <row r="285">
          <cell r="B285" t="str">
            <v>عقونـي جمـال</v>
          </cell>
        </row>
        <row r="286">
          <cell r="B286" t="str">
            <v>عـلال حكيمـة</v>
          </cell>
        </row>
        <row r="287">
          <cell r="B287" t="str">
            <v>عـلال سعـاد</v>
          </cell>
        </row>
        <row r="288">
          <cell r="B288" t="str">
            <v>عـلال عبـد الكريـم</v>
          </cell>
        </row>
        <row r="289">
          <cell r="B289" t="str">
            <v>عـلال نجـاة</v>
          </cell>
        </row>
        <row r="290">
          <cell r="B290" t="str">
            <v>علـواش بوعـلام</v>
          </cell>
        </row>
        <row r="291">
          <cell r="B291" t="str">
            <v>علوانـي حسـن</v>
          </cell>
        </row>
        <row r="292">
          <cell r="B292" t="str">
            <v>علـي صوشـة عبـد المالـك</v>
          </cell>
        </row>
        <row r="293">
          <cell r="B293" t="str">
            <v>عليلـي مـراد</v>
          </cell>
        </row>
        <row r="294">
          <cell r="B294" t="str">
            <v>عليلـي يونـس</v>
          </cell>
        </row>
        <row r="295">
          <cell r="B295" t="str">
            <v>عمـارة أحمـد</v>
          </cell>
        </row>
        <row r="296">
          <cell r="B296" t="str">
            <v>عمـرون إبراهيـم</v>
          </cell>
        </row>
        <row r="297">
          <cell r="B297" t="str">
            <v>عمـور أحمـد</v>
          </cell>
        </row>
        <row r="298">
          <cell r="B298" t="str">
            <v>عمـور الهـادي</v>
          </cell>
        </row>
        <row r="299">
          <cell r="B299" t="str">
            <v>عمـور لخضـر</v>
          </cell>
        </row>
        <row r="300">
          <cell r="B300" t="str">
            <v>عيـش عبلـة</v>
          </cell>
        </row>
        <row r="301">
          <cell r="B301" t="str">
            <v>غانـم خيـرة</v>
          </cell>
        </row>
        <row r="302">
          <cell r="B302" t="str">
            <v>غـزرم الربـح</v>
          </cell>
        </row>
        <row r="303">
          <cell r="B303" t="str">
            <v>فالـي مليكـة</v>
          </cell>
        </row>
        <row r="304">
          <cell r="B304" t="str">
            <v>فايـد رابـح</v>
          </cell>
        </row>
        <row r="305">
          <cell r="B305" t="str">
            <v>فايـد ساعـد</v>
          </cell>
        </row>
        <row r="306">
          <cell r="B306" t="str">
            <v>فرحاتـي حسـن</v>
          </cell>
        </row>
        <row r="307">
          <cell r="B307" t="str">
            <v>فريتيـح إبراهيـم</v>
          </cell>
        </row>
        <row r="308">
          <cell r="B308" t="str">
            <v>فضيـل حسيـن</v>
          </cell>
        </row>
        <row r="309">
          <cell r="B309" t="str">
            <v>فضيلـي سميـر</v>
          </cell>
        </row>
        <row r="310">
          <cell r="B310" t="str">
            <v>قـادري خليـل</v>
          </cell>
        </row>
        <row r="311">
          <cell r="B311" t="str">
            <v>قـادري سعيـدة</v>
          </cell>
        </row>
        <row r="312">
          <cell r="B312" t="str">
            <v>قـادري عبـد الحفيـظ</v>
          </cell>
        </row>
        <row r="313">
          <cell r="B313" t="str">
            <v>قـادري عبـد الرحيـم</v>
          </cell>
        </row>
        <row r="314">
          <cell r="B314" t="str">
            <v>قـادري محمـد البوزيـدي</v>
          </cell>
        </row>
        <row r="315">
          <cell r="B315" t="str">
            <v>قاسمـي رابـح</v>
          </cell>
        </row>
        <row r="316">
          <cell r="B316" t="str">
            <v>قاسمـي عـز الديـن</v>
          </cell>
        </row>
        <row r="317">
          <cell r="B317" t="str">
            <v>قاقـي فاتـح</v>
          </cell>
        </row>
        <row r="318">
          <cell r="B318" t="str">
            <v>قحيـوش سـارة كريمـة</v>
          </cell>
        </row>
        <row r="319">
          <cell r="B319" t="str">
            <v>قـراب سـلاف</v>
          </cell>
        </row>
        <row r="320">
          <cell r="B320" t="str">
            <v>قـراري هـدى</v>
          </cell>
        </row>
        <row r="321">
          <cell r="B321" t="str">
            <v>قرنـة عيسـى</v>
          </cell>
        </row>
        <row r="322">
          <cell r="B322" t="str">
            <v>قـروش محمـد</v>
          </cell>
        </row>
        <row r="323">
          <cell r="B323" t="str">
            <v>قطـوش إدريـس</v>
          </cell>
        </row>
        <row r="324">
          <cell r="B324" t="str">
            <v>قفـي إبراهيـم</v>
          </cell>
        </row>
        <row r="325">
          <cell r="B325" t="str">
            <v>قليـل عبـد الحليـم</v>
          </cell>
        </row>
        <row r="326">
          <cell r="B326" t="str">
            <v>كاكـا عبـد السـلام</v>
          </cell>
        </row>
        <row r="327">
          <cell r="B327" t="str">
            <v>كتـاب كمـال</v>
          </cell>
        </row>
        <row r="328">
          <cell r="B328" t="str">
            <v>كحالـي أمـال</v>
          </cell>
        </row>
        <row r="329">
          <cell r="B329" t="str">
            <v>كريـم أحمـد</v>
          </cell>
        </row>
        <row r="330">
          <cell r="B330" t="str">
            <v>كشيـدة عبـد القـادر</v>
          </cell>
        </row>
        <row r="331">
          <cell r="B331" t="str">
            <v>لبصيـر عبـد اللـه</v>
          </cell>
        </row>
        <row r="332">
          <cell r="B332" t="str">
            <v>لبلوبـة لخضـر</v>
          </cell>
        </row>
        <row r="333">
          <cell r="B333" t="str">
            <v>لبـوازدة جـلال</v>
          </cell>
        </row>
        <row r="334">
          <cell r="B334" t="str">
            <v>لعجـال صبرينـة</v>
          </cell>
        </row>
        <row r="335">
          <cell r="B335" t="str">
            <v>لعشـاش عبـد الرحمـان</v>
          </cell>
        </row>
        <row r="336">
          <cell r="B336" t="str">
            <v>لعـلاوي عبـد الغنـي</v>
          </cell>
        </row>
        <row r="337">
          <cell r="B337" t="str">
            <v>لعمـارة عبـد الحليـم</v>
          </cell>
        </row>
        <row r="338">
          <cell r="B338" t="str">
            <v>لعمـري زهـرة</v>
          </cell>
        </row>
        <row r="339">
          <cell r="B339" t="str">
            <v>لعويجـي نـور الديـن</v>
          </cell>
        </row>
        <row r="340">
          <cell r="B340" t="str">
            <v>لغـراب إسماعيـل</v>
          </cell>
        </row>
        <row r="341">
          <cell r="B341" t="str">
            <v>لغـراب الطاهـر</v>
          </cell>
        </row>
        <row r="342">
          <cell r="B342" t="str">
            <v>لقرلـي محمـد</v>
          </cell>
        </row>
        <row r="343">
          <cell r="B343" t="str">
            <v>لكحـل الطاهـر</v>
          </cell>
        </row>
        <row r="344">
          <cell r="B344" t="str">
            <v>لوطيـة سعيـدة</v>
          </cell>
        </row>
        <row r="345">
          <cell r="B345" t="str">
            <v>لوعيـل مسعـودة</v>
          </cell>
        </row>
        <row r="346">
          <cell r="B346" t="str">
            <v>مجيـدي زوليخـة</v>
          </cell>
        </row>
        <row r="347">
          <cell r="B347" t="str">
            <v>محـدادي إبراهيـم</v>
          </cell>
        </row>
        <row r="348">
          <cell r="B348" t="str">
            <v>محمـد الصغيـر أسامـة</v>
          </cell>
        </row>
        <row r="349">
          <cell r="B349" t="str">
            <v>محمـدي باديـس</v>
          </cell>
        </row>
        <row r="350">
          <cell r="B350" t="str">
            <v>محمـودي محمـد</v>
          </cell>
        </row>
        <row r="351">
          <cell r="B351" t="str">
            <v>مختـاري البـشيـر</v>
          </cell>
        </row>
        <row r="352">
          <cell r="B352" t="str">
            <v>مختـاري العربـي</v>
          </cell>
        </row>
        <row r="353">
          <cell r="B353" t="str">
            <v>مرابـط أحمـد</v>
          </cell>
        </row>
        <row r="354">
          <cell r="B354" t="str">
            <v>مرزوقـي آسيـا</v>
          </cell>
        </row>
        <row r="355">
          <cell r="B355" t="str">
            <v>مرزوقـي سميـر</v>
          </cell>
        </row>
        <row r="356">
          <cell r="B356" t="str">
            <v>مرزوقـي نبيلـة</v>
          </cell>
        </row>
        <row r="357">
          <cell r="B357" t="str">
            <v>مـزراق يمينـة</v>
          </cell>
        </row>
        <row r="358">
          <cell r="B358" t="str">
            <v>مسعـودي الصديـق</v>
          </cell>
        </row>
        <row r="359">
          <cell r="B359" t="str">
            <v>مسعـودي حفنـاوي</v>
          </cell>
        </row>
        <row r="360">
          <cell r="B360" t="str">
            <v>مشتـر عمـر</v>
          </cell>
        </row>
        <row r="361">
          <cell r="B361" t="str">
            <v>مشـري نجـوة</v>
          </cell>
        </row>
        <row r="362">
          <cell r="B362" t="str">
            <v>معمـوري قويـدر</v>
          </cell>
        </row>
        <row r="363">
          <cell r="B363" t="str">
            <v>مقـدر الزيتونـي</v>
          </cell>
        </row>
        <row r="364">
          <cell r="B364" t="str">
            <v>مقـران محسـن</v>
          </cell>
        </row>
        <row r="365">
          <cell r="B365" t="str">
            <v>مقـري نبيـل</v>
          </cell>
        </row>
        <row r="366">
          <cell r="B366" t="str">
            <v>مليـك إيمـان</v>
          </cell>
        </row>
        <row r="367">
          <cell r="B367" t="str">
            <v>مليـك سعـاد</v>
          </cell>
        </row>
        <row r="368">
          <cell r="B368" t="str">
            <v>منصـوري أحمـد</v>
          </cell>
        </row>
        <row r="369">
          <cell r="B369" t="str">
            <v>منصوري سليمـة</v>
          </cell>
        </row>
        <row r="370">
          <cell r="B370" t="str">
            <v>مهـدي أحمـد</v>
          </cell>
        </row>
        <row r="371">
          <cell r="B371" t="str">
            <v>مهـدي الحـاج</v>
          </cell>
        </row>
        <row r="372">
          <cell r="B372" t="str">
            <v>مهـدي وليـد</v>
          </cell>
        </row>
        <row r="373">
          <cell r="B373" t="str">
            <v>مويسـات سميـة</v>
          </cell>
        </row>
        <row r="374">
          <cell r="B374" t="str">
            <v>مويسـات لخضـر</v>
          </cell>
        </row>
        <row r="375">
          <cell r="B375" t="str">
            <v>مياسـة عبـد اللـه</v>
          </cell>
        </row>
        <row r="376">
          <cell r="B376" t="str">
            <v>ميهوبـي الزهـرة</v>
          </cell>
        </row>
        <row r="377">
          <cell r="B377" t="str">
            <v>ميهوبـي مسعـود</v>
          </cell>
        </row>
        <row r="378">
          <cell r="B378" t="str">
            <v>ناجـي لزهـر</v>
          </cell>
        </row>
        <row r="379">
          <cell r="B379" t="str">
            <v>ناعـم السعيـد</v>
          </cell>
        </row>
        <row r="380">
          <cell r="B380" t="str">
            <v>نانـو عبـد الحكيـم</v>
          </cell>
        </row>
        <row r="381">
          <cell r="B381" t="str">
            <v>نـش سميـر</v>
          </cell>
        </row>
        <row r="382">
          <cell r="B382" t="str">
            <v>نصـر الديـن ياسيـن</v>
          </cell>
        </row>
        <row r="383">
          <cell r="B383" t="str">
            <v>نصـري أسمـاء</v>
          </cell>
        </row>
        <row r="384">
          <cell r="B384" t="str">
            <v>نصـري نبيلـة</v>
          </cell>
        </row>
        <row r="385">
          <cell r="B385" t="str">
            <v>نويبـات محمـد</v>
          </cell>
        </row>
        <row r="386">
          <cell r="B386" t="str">
            <v>هذلـي فاطمـة الزهـراء</v>
          </cell>
        </row>
        <row r="387">
          <cell r="B387" t="str">
            <v>هزيـل الطيـب</v>
          </cell>
        </row>
        <row r="388">
          <cell r="B388" t="str">
            <v>هوشـات العربـي</v>
          </cell>
        </row>
        <row r="389">
          <cell r="B389" t="str">
            <v>والـي عيسـى</v>
          </cell>
        </row>
        <row r="390">
          <cell r="B390" t="str">
            <v>وقـاف خلـف اللـه</v>
          </cell>
        </row>
        <row r="391">
          <cell r="B391" t="str">
            <v>ياحـي لحسـن</v>
          </cell>
        </row>
        <row r="392">
          <cell r="B392" t="str">
            <v>يحيـاوي صالـح</v>
          </cell>
        </row>
        <row r="393">
          <cell r="B393" t="str">
            <v>يـزة رابـح مـراد</v>
          </cell>
        </row>
        <row r="394">
          <cell r="B394" t="str">
            <v>يوسفـي خليـدة</v>
          </cell>
        </row>
        <row r="395">
          <cell r="B395" t="str">
            <v>بريمـي مولـود</v>
          </cell>
        </row>
        <row r="396">
          <cell r="B396" t="str">
            <v>بـن نـوي محمـد</v>
          </cell>
        </row>
        <row r="397">
          <cell r="B397" t="str">
            <v>بـودارن مونيـة</v>
          </cell>
        </row>
        <row r="398">
          <cell r="B398" t="str">
            <v>بوعـلام عمـر</v>
          </cell>
        </row>
        <row r="399">
          <cell r="B399" t="str">
            <v>جزولـي عيسـى</v>
          </cell>
        </row>
        <row r="400">
          <cell r="B400" t="str">
            <v>جعيجـع مسعـودة</v>
          </cell>
        </row>
        <row r="401">
          <cell r="B401" t="str">
            <v>حكيـم سعيـد</v>
          </cell>
        </row>
        <row r="402">
          <cell r="B402" t="str">
            <v>دبـاش تياقـوت</v>
          </cell>
        </row>
        <row r="403">
          <cell r="B403" t="str">
            <v>زاهـر خالـد</v>
          </cell>
        </row>
        <row r="404">
          <cell r="B404" t="str">
            <v>زردة عائشـة</v>
          </cell>
        </row>
        <row r="405">
          <cell r="B405" t="str">
            <v>زروقـي محمـد</v>
          </cell>
        </row>
        <row r="406">
          <cell r="B406" t="str">
            <v>زهانـي نصيـر</v>
          </cell>
        </row>
        <row r="407">
          <cell r="B407" t="str">
            <v>زوجـة غربـي دحـة صفيـة</v>
          </cell>
        </row>
        <row r="408">
          <cell r="B408" t="str">
            <v>سلامـي سميـرة بنـت بلقاسـم</v>
          </cell>
        </row>
        <row r="409">
          <cell r="B409" t="str">
            <v>عمـاري بوختالـة</v>
          </cell>
        </row>
        <row r="410">
          <cell r="B410" t="str">
            <v>عمـران عبـد الرحمـان رشيـد</v>
          </cell>
        </row>
        <row r="411">
          <cell r="B411" t="str">
            <v>قليـل هشـام</v>
          </cell>
        </row>
        <row r="412">
          <cell r="B412" t="str">
            <v>لدغـم شيكـوش السعيـد</v>
          </cell>
        </row>
        <row r="413">
          <cell r="B413" t="str">
            <v>نـش رضـا</v>
          </cell>
        </row>
        <row r="414">
          <cell r="B414" t="str">
            <v>يـن عـادل أسامـة</v>
          </cell>
        </row>
        <row r="415">
          <cell r="B415" t="str">
            <v>بـن حليمـة خالـد</v>
          </cell>
        </row>
        <row r="416">
          <cell r="B416" t="str">
            <v>بـن دربـال قويـدر</v>
          </cell>
        </row>
        <row r="417">
          <cell r="B417" t="str">
            <v>بـن زيـن يحـي</v>
          </cell>
        </row>
        <row r="418">
          <cell r="B418" t="str">
            <v>بـن عريـب بو بكـر</v>
          </cell>
        </row>
        <row r="419">
          <cell r="B419" t="str">
            <v>بـن لطـرش البشيـر</v>
          </cell>
        </row>
        <row r="420">
          <cell r="B420" t="str">
            <v>بوفجغيـن أمبـارك</v>
          </cell>
        </row>
        <row r="421">
          <cell r="B421" t="str">
            <v>بوقـرة بلقاسـم</v>
          </cell>
        </row>
        <row r="422">
          <cell r="B422" t="str">
            <v>حيمـر أحمـد</v>
          </cell>
        </row>
        <row r="423">
          <cell r="B423" t="str">
            <v>داري الطاهـر</v>
          </cell>
        </row>
        <row r="424">
          <cell r="B424" t="str">
            <v>راجعـي محمـد</v>
          </cell>
        </row>
        <row r="425">
          <cell r="B425" t="str">
            <v>سالـم محمـد</v>
          </cell>
        </row>
        <row r="426">
          <cell r="B426" t="str">
            <v>سلامـي سميـرة</v>
          </cell>
        </row>
        <row r="427">
          <cell r="B427" t="str">
            <v>شنيـح عـز الديـن</v>
          </cell>
        </row>
        <row r="428">
          <cell r="B428" t="str">
            <v>طيهـار محمـد الطيـب</v>
          </cell>
        </row>
        <row r="429">
          <cell r="B429" t="str">
            <v>عبـاس عبـد الغنـي</v>
          </cell>
        </row>
        <row r="430">
          <cell r="B430" t="str">
            <v>عجـال عمـار</v>
          </cell>
        </row>
        <row r="431">
          <cell r="B431" t="str">
            <v>غانـم بلقاسـم</v>
          </cell>
        </row>
        <row r="432">
          <cell r="B432" t="str">
            <v>لحيمـر الزهـرة</v>
          </cell>
        </row>
        <row r="433">
          <cell r="B433" t="str">
            <v>لحيمـر عائشـة</v>
          </cell>
        </row>
        <row r="434">
          <cell r="B434" t="str">
            <v>مشاكـرة أحمـد بـن بلـة</v>
          </cell>
        </row>
        <row r="435">
          <cell r="B435" t="str">
            <v>معمـري معمـر</v>
          </cell>
        </row>
        <row r="436">
          <cell r="B436" t="str">
            <v>مليانـي حسيـن</v>
          </cell>
        </row>
        <row r="437">
          <cell r="B437" t="str">
            <v>ميمـون عبـد الرحمـان</v>
          </cell>
        </row>
        <row r="438">
          <cell r="B438" t="str">
            <v>نمـس ساعـد</v>
          </cell>
        </row>
        <row r="439">
          <cell r="B439" t="str">
            <v>وقـاف مـوسى</v>
          </cell>
        </row>
        <row r="440">
          <cell r="B440" t="str">
            <v>يعـلاوي خالـد</v>
          </cell>
        </row>
        <row r="441">
          <cell r="B441" t="str">
            <v>إيديـري يحـي</v>
          </cell>
        </row>
        <row r="442">
          <cell r="B442" t="str">
            <v>داسـة محمـد عصـام</v>
          </cell>
        </row>
        <row r="443">
          <cell r="B443" t="str">
            <v>ذيـاب داريـن</v>
          </cell>
        </row>
        <row r="444">
          <cell r="B444" t="str">
            <v>سوالميـة إليـاس</v>
          </cell>
        </row>
        <row r="445">
          <cell r="B445" t="str">
            <v>شاكـي محمـد</v>
          </cell>
        </row>
        <row r="446">
          <cell r="B446" t="str">
            <v>غانمـي نـورة</v>
          </cell>
        </row>
        <row r="447">
          <cell r="B447" t="str">
            <v>مجنـاح فضيلـة</v>
          </cell>
        </row>
        <row r="448">
          <cell r="B448" t="str">
            <v>محمـد شيكـوش ليلـى</v>
          </cell>
        </row>
        <row r="449">
          <cell r="B449" t="str">
            <v>مقـورة حليمـة</v>
          </cell>
        </row>
        <row r="450">
          <cell r="B450" t="str">
            <v>منصـور الـذوادي</v>
          </cell>
        </row>
        <row r="451">
          <cell r="B451" t="str">
            <v>هلالـي بوبكـر</v>
          </cell>
        </row>
        <row r="452">
          <cell r="B452" t="str">
            <v>إسماعيلـي أسمـاء</v>
          </cell>
        </row>
        <row r="453">
          <cell r="B453" t="str">
            <v>أوذينـة مسعـود</v>
          </cell>
        </row>
        <row r="454">
          <cell r="B454" t="str">
            <v>بختـي إبراهيـم</v>
          </cell>
        </row>
        <row r="455">
          <cell r="B455" t="str">
            <v>برابـح المسعـود</v>
          </cell>
        </row>
        <row r="456">
          <cell r="B456" t="str">
            <v>برابـح النـوي</v>
          </cell>
        </row>
        <row r="457">
          <cell r="B457" t="str">
            <v>بركـات الطاهـر</v>
          </cell>
        </row>
        <row r="458">
          <cell r="B458" t="str">
            <v>بركـات صالـح</v>
          </cell>
        </row>
        <row r="459">
          <cell r="B459" t="str">
            <v>بركـات عبـد الناصـر</v>
          </cell>
        </row>
        <row r="460">
          <cell r="B460" t="str">
            <v>بلحـو آسيـا</v>
          </cell>
        </row>
        <row r="461">
          <cell r="B461" t="str">
            <v>بلخيـر رزيقـة</v>
          </cell>
        </row>
        <row r="462">
          <cell r="B462" t="str">
            <v>بلعبـاس السعيـد</v>
          </cell>
        </row>
        <row r="463">
          <cell r="B463" t="str">
            <v>بـن حـوة سعـادة</v>
          </cell>
        </row>
        <row r="464">
          <cell r="B464" t="str">
            <v>بـن زاوي رزيـق</v>
          </cell>
        </row>
        <row r="465">
          <cell r="B465" t="str">
            <v>بـن عيسـى نزهـة أمـال</v>
          </cell>
        </row>
        <row r="466">
          <cell r="B466" t="str">
            <v>بـن لحـرش مليكـة</v>
          </cell>
        </row>
        <row r="467">
          <cell r="B467" t="str">
            <v>بـن ناصـر النـواري</v>
          </cell>
        </row>
        <row r="468">
          <cell r="B468" t="str">
            <v>بـن يطـو عبـد العزيـز</v>
          </cell>
        </row>
        <row r="469">
          <cell r="B469" t="str">
            <v>بوخـرص جميلـة</v>
          </cell>
        </row>
        <row r="470">
          <cell r="B470" t="str">
            <v>بوخـرص نعيمـة</v>
          </cell>
        </row>
        <row r="471">
          <cell r="B471" t="str">
            <v>بوخلـط أسعيـد</v>
          </cell>
        </row>
        <row r="472">
          <cell r="B472" t="str">
            <v>بوخلـط العربـي</v>
          </cell>
        </row>
        <row r="473">
          <cell r="B473" t="str">
            <v>بورويـس عبـد الرحمـان</v>
          </cell>
        </row>
        <row r="474">
          <cell r="B474" t="str">
            <v>بوسعديـة جمـال</v>
          </cell>
        </row>
        <row r="475">
          <cell r="B475" t="str">
            <v>بوطبيـق نبيـل</v>
          </cell>
        </row>
        <row r="476">
          <cell r="B476" t="str">
            <v>بوعثمـان علـي</v>
          </cell>
        </row>
        <row r="477">
          <cell r="B477" t="str">
            <v>تيطـراوي لحسـن</v>
          </cell>
        </row>
        <row r="478">
          <cell r="B478" t="str">
            <v>جـراف عاشـور</v>
          </cell>
        </row>
        <row r="479">
          <cell r="B479" t="str">
            <v>جريـو جمـال</v>
          </cell>
        </row>
        <row r="480">
          <cell r="B480" t="str">
            <v>جلـود رابـح</v>
          </cell>
        </row>
        <row r="481">
          <cell r="B481" t="str">
            <v>جيـاب فريـدة</v>
          </cell>
        </row>
        <row r="482">
          <cell r="B482" t="str">
            <v>حريـزي عقيلـة</v>
          </cell>
        </row>
        <row r="483">
          <cell r="B483" t="str">
            <v>حمـودة علجيـة</v>
          </cell>
        </row>
        <row r="484">
          <cell r="B484" t="str">
            <v>حيمـر الصديـق</v>
          </cell>
        </row>
        <row r="485">
          <cell r="B485" t="str">
            <v>حيمـر علـي</v>
          </cell>
        </row>
        <row r="486">
          <cell r="B486" t="str">
            <v>خرخـاش عبـد الوهـاب</v>
          </cell>
        </row>
        <row r="487">
          <cell r="B487" t="str">
            <v>خشعـي عبـد الوهـاب</v>
          </cell>
        </row>
        <row r="488">
          <cell r="B488" t="str">
            <v>خطوطـي سليـم</v>
          </cell>
        </row>
        <row r="489">
          <cell r="B489" t="str">
            <v>خلفـات جمـال</v>
          </cell>
        </row>
        <row r="490">
          <cell r="B490" t="str">
            <v>خوجـة السعيـد</v>
          </cell>
        </row>
        <row r="491">
          <cell r="B491" t="str">
            <v>دبـي نـور الديـن</v>
          </cell>
        </row>
        <row r="492">
          <cell r="B492" t="str">
            <v>دحـدوح فاتـح</v>
          </cell>
        </row>
        <row r="493">
          <cell r="B493" t="str">
            <v>دغفـل محمـد</v>
          </cell>
        </row>
        <row r="494">
          <cell r="B494" t="str">
            <v>دهمـش مريـم</v>
          </cell>
        </row>
        <row r="495">
          <cell r="B495" t="str">
            <v>ديلمـي سميـر</v>
          </cell>
        </row>
        <row r="496">
          <cell r="B496" t="str">
            <v>ديلمـي محمـد</v>
          </cell>
        </row>
        <row r="497">
          <cell r="B497" t="str">
            <v>راجعـي الربـح</v>
          </cell>
        </row>
        <row r="498">
          <cell r="B498" t="str">
            <v>رجـم محمـد لميـن</v>
          </cell>
        </row>
        <row r="499">
          <cell r="B499" t="str">
            <v>رماضنيـة فايـزة</v>
          </cell>
        </row>
        <row r="500">
          <cell r="B500" t="str">
            <v>رملـي عبـد اللـه</v>
          </cell>
        </row>
        <row r="501">
          <cell r="B501" t="str">
            <v>روابحـي رزيقـة</v>
          </cell>
        </row>
        <row r="502">
          <cell r="B502" t="str">
            <v>رواق إبراهيـم</v>
          </cell>
        </row>
        <row r="503">
          <cell r="B503" t="str">
            <v>زواوي الدراجـي</v>
          </cell>
        </row>
        <row r="504">
          <cell r="B504" t="str">
            <v>زوبيـري الطيـب</v>
          </cell>
        </row>
        <row r="505">
          <cell r="B505" t="str">
            <v>زيتونـي حركاتـي</v>
          </cell>
        </row>
        <row r="506">
          <cell r="B506" t="str">
            <v>سحنـون ياسيـن</v>
          </cell>
        </row>
        <row r="507">
          <cell r="B507" t="str">
            <v>سويسـي أحمـد</v>
          </cell>
        </row>
        <row r="508">
          <cell r="B508" t="str">
            <v>شريـط وليـد</v>
          </cell>
        </row>
        <row r="509">
          <cell r="B509" t="str">
            <v>شطـة مختـار</v>
          </cell>
        </row>
        <row r="510">
          <cell r="B510" t="str">
            <v>شيكـوش حمينـة ساميـة</v>
          </cell>
        </row>
        <row r="511">
          <cell r="B511" t="str">
            <v>طبـي مفتـاح</v>
          </cell>
        </row>
        <row r="512">
          <cell r="B512" t="str">
            <v>طيايبـة زهيـر</v>
          </cell>
        </row>
        <row r="513">
          <cell r="B513" t="str">
            <v>طيايبـة عـز الديـن</v>
          </cell>
        </row>
        <row r="514">
          <cell r="B514" t="str">
            <v>طيـوب رابـح</v>
          </cell>
        </row>
        <row r="515">
          <cell r="B515" t="str">
            <v>طيـوب عبد القـادر</v>
          </cell>
        </row>
        <row r="516">
          <cell r="B516" t="str">
            <v>عايـب خميسـي</v>
          </cell>
        </row>
        <row r="517">
          <cell r="B517" t="str">
            <v>عبدلـي موسـى</v>
          </cell>
        </row>
        <row r="518">
          <cell r="B518" t="str">
            <v>عجابـي محمـد</v>
          </cell>
        </row>
        <row r="519">
          <cell r="B519" t="str">
            <v>عـلال الضيـف</v>
          </cell>
        </row>
        <row r="520">
          <cell r="B520" t="str">
            <v>عمـرون عبـد اللطيـف</v>
          </cell>
        </row>
        <row r="521">
          <cell r="B521" t="str">
            <v>عمـرون عبـد المالـك</v>
          </cell>
        </row>
        <row r="522">
          <cell r="B522" t="str">
            <v>عمـرون محسـن</v>
          </cell>
        </row>
        <row r="523">
          <cell r="B523" t="str">
            <v>عمـرون مسـعود</v>
          </cell>
        </row>
        <row r="524">
          <cell r="B524" t="str">
            <v>عوينـة محمـد طلحـة</v>
          </cell>
        </row>
        <row r="525">
          <cell r="B525" t="str">
            <v>غضبـان عيسـى</v>
          </cell>
        </row>
        <row r="526">
          <cell r="B526" t="str">
            <v>غضبـان محمـد</v>
          </cell>
        </row>
        <row r="527">
          <cell r="B527" t="str">
            <v>غيلـوس نـور الديـن</v>
          </cell>
        </row>
        <row r="528">
          <cell r="B528" t="str">
            <v>فضيلـي جمـال</v>
          </cell>
        </row>
        <row r="529">
          <cell r="B529" t="str">
            <v>قـروش رشيـد</v>
          </cell>
        </row>
        <row r="530">
          <cell r="B530" t="str">
            <v>قلقـول عبـد العزيـز</v>
          </cell>
        </row>
        <row r="531">
          <cell r="B531" t="str">
            <v>كابويـة محفـوظ</v>
          </cell>
        </row>
        <row r="532">
          <cell r="B532" t="str">
            <v>كـراع فضيلـة</v>
          </cell>
        </row>
        <row r="533">
          <cell r="B533" t="str">
            <v>لخنـش عيسـى</v>
          </cell>
        </row>
        <row r="534">
          <cell r="B534" t="str">
            <v>لدغـم شيكـوش جميلـة</v>
          </cell>
        </row>
        <row r="535">
          <cell r="B535" t="str">
            <v>لصقـع محمـد</v>
          </cell>
        </row>
        <row r="536">
          <cell r="B536" t="str">
            <v>لعجـال حـدة</v>
          </cell>
        </row>
        <row r="537">
          <cell r="B537" t="str">
            <v>لعرابـي فضيلـة</v>
          </cell>
        </row>
        <row r="538">
          <cell r="B538" t="str">
            <v>مرنيـز فهيمـة</v>
          </cell>
        </row>
        <row r="539">
          <cell r="B539" t="str">
            <v>مزعـاش بلقاسـم</v>
          </cell>
        </row>
        <row r="540">
          <cell r="B540" t="str">
            <v>مشيكـي الشريـف</v>
          </cell>
        </row>
        <row r="541">
          <cell r="B541" t="str">
            <v>مشيكـي حليمـة</v>
          </cell>
        </row>
        <row r="542">
          <cell r="B542" t="str">
            <v>معـوش صبرينـة</v>
          </cell>
        </row>
        <row r="543">
          <cell r="B543" t="str">
            <v>مقـورة كمـال</v>
          </cell>
        </row>
        <row r="544">
          <cell r="B544" t="str">
            <v>مكـي بوفاتـح</v>
          </cell>
        </row>
        <row r="545">
          <cell r="B545" t="str">
            <v>مناصـري نعيمـة</v>
          </cell>
        </row>
        <row r="546">
          <cell r="B546" t="str">
            <v>مناصـري نـور الديـن</v>
          </cell>
        </row>
        <row r="547">
          <cell r="B547" t="str">
            <v>ميـرة مختـار</v>
          </cell>
        </row>
        <row r="548">
          <cell r="B548" t="str">
            <v>ميمـون رمضـان</v>
          </cell>
        </row>
        <row r="549">
          <cell r="B549" t="str">
            <v>نـاوي بوجمعـة</v>
          </cell>
        </row>
        <row r="550">
          <cell r="B550" t="str">
            <v>نـاوي سالـم</v>
          </cell>
        </row>
        <row r="551">
          <cell r="B551" t="str">
            <v>نايلـي سعيـدة</v>
          </cell>
        </row>
        <row r="552">
          <cell r="B552" t="str">
            <v>نصـري نوريـة</v>
          </cell>
        </row>
        <row r="553">
          <cell r="B553" t="str">
            <v>نقاز عبـد الحليـم</v>
          </cell>
        </row>
        <row r="554">
          <cell r="B554" t="str">
            <v>وقـاف عمـر</v>
          </cell>
        </row>
        <row r="555">
          <cell r="B555" t="str">
            <v>يلـس أحمـد</v>
          </cell>
        </row>
        <row r="556">
          <cell r="B556" t="str">
            <v>بـن بـو العيـد عبـد الكريـم</v>
          </cell>
        </row>
        <row r="557">
          <cell r="B557" t="str">
            <v>بـن قبـي مولـود</v>
          </cell>
        </row>
        <row r="558">
          <cell r="B558" t="str">
            <v>يعـلاوي طـارق / بـن الطاهـر</v>
          </cell>
        </row>
        <row r="559">
          <cell r="B559" t="str">
            <v>بالـي سليمـان</v>
          </cell>
        </row>
        <row r="560">
          <cell r="B560" t="str">
            <v>بختـي تقـي الديـن</v>
          </cell>
        </row>
        <row r="561">
          <cell r="B561" t="str">
            <v>بديـار العياشـي</v>
          </cell>
        </row>
        <row r="562">
          <cell r="B562" t="str">
            <v>بسطـي علجيـة</v>
          </cell>
        </row>
        <row r="563">
          <cell r="B563" t="str">
            <v>بشيـري عـز الديـن</v>
          </cell>
        </row>
        <row r="564">
          <cell r="B564" t="str">
            <v>بعزيـز يوسـف</v>
          </cell>
        </row>
        <row r="565">
          <cell r="B565" t="str">
            <v>بلبـاي عبد الـرزاق</v>
          </cell>
        </row>
        <row r="566">
          <cell r="B566" t="str">
            <v>بلخيـري جيلالـي</v>
          </cell>
        </row>
        <row r="567">
          <cell r="B567" t="str">
            <v>بـن حليمـة مــراد</v>
          </cell>
        </row>
        <row r="568">
          <cell r="B568" t="str">
            <v>بـن خالـد نبيلـة</v>
          </cell>
        </row>
        <row r="569">
          <cell r="B569" t="str">
            <v>بـن صوشـة يوسـف</v>
          </cell>
        </row>
        <row r="570">
          <cell r="B570" t="str">
            <v>بـن عبـد الرحمـان مصطفـى</v>
          </cell>
        </row>
        <row r="571">
          <cell r="B571" t="str">
            <v>بوجمعـة مصطفـى</v>
          </cell>
        </row>
        <row r="572">
          <cell r="B572" t="str">
            <v>بوسكـرة رضـا</v>
          </cell>
        </row>
        <row r="573">
          <cell r="B573" t="str">
            <v>بوشريعـة سعـاد</v>
          </cell>
        </row>
        <row r="574">
          <cell r="B574" t="str">
            <v>بوضيـاف عبـد الكريـم</v>
          </cell>
        </row>
        <row r="575">
          <cell r="B575" t="str">
            <v>بوضيـاف عمـر</v>
          </cell>
        </row>
        <row r="576">
          <cell r="B576" t="str">
            <v>بوقـرة فـواز</v>
          </cell>
        </row>
        <row r="577">
          <cell r="B577" t="str">
            <v>جاجـة الميلـود</v>
          </cell>
        </row>
        <row r="578">
          <cell r="B578" t="str">
            <v>جديـات رشيـد</v>
          </cell>
        </row>
        <row r="579">
          <cell r="B579" t="str">
            <v>جردالـي الـزهـرة</v>
          </cell>
        </row>
        <row r="580">
          <cell r="B580" t="str">
            <v>جعفـر سليمـة</v>
          </cell>
        </row>
        <row r="581">
          <cell r="B581" t="str">
            <v>جلـود الدهيمـي</v>
          </cell>
        </row>
        <row r="582">
          <cell r="B582" t="str">
            <v>حريـزي مـراد</v>
          </cell>
        </row>
        <row r="583">
          <cell r="B583" t="str">
            <v>حميـش عبـد الوهـاب</v>
          </cell>
        </row>
        <row r="584">
          <cell r="B584" t="str">
            <v>حيمـر عبـد المالـك</v>
          </cell>
        </row>
        <row r="585">
          <cell r="B585" t="str">
            <v>خطـاف بوزيـان</v>
          </cell>
        </row>
        <row r="586">
          <cell r="B586" t="str">
            <v>دبـي عبـد الحكيـم</v>
          </cell>
        </row>
        <row r="587">
          <cell r="B587" t="str">
            <v>دحمانـي يوسـف</v>
          </cell>
        </row>
        <row r="588">
          <cell r="B588" t="str">
            <v>دفـي بلقاسـم</v>
          </cell>
        </row>
        <row r="589">
          <cell r="B589" t="str">
            <v>ذيـاب سعـاد</v>
          </cell>
        </row>
        <row r="590">
          <cell r="B590" t="str">
            <v>ربعـي ناصـر</v>
          </cell>
        </row>
        <row r="591">
          <cell r="B591" t="str">
            <v>رملـي يزيـد</v>
          </cell>
        </row>
        <row r="592">
          <cell r="B592" t="str">
            <v>روبيبـي نسيمـة</v>
          </cell>
        </row>
        <row r="593">
          <cell r="B593" t="str">
            <v>زارد الجيلالـي</v>
          </cell>
        </row>
        <row r="594">
          <cell r="B594" t="str">
            <v>زهانـي أحمـد منيـر</v>
          </cell>
        </row>
        <row r="595">
          <cell r="B595" t="str">
            <v>سرايـش السعيـد</v>
          </cell>
        </row>
        <row r="596">
          <cell r="B596" t="str">
            <v>سرايـش مرزاقـة</v>
          </cell>
        </row>
        <row r="597">
          <cell r="B597" t="str">
            <v>سعـدي سليـم</v>
          </cell>
        </row>
        <row r="598">
          <cell r="B598" t="str">
            <v>سيلـم مـروان</v>
          </cell>
        </row>
        <row r="599">
          <cell r="B599" t="str">
            <v>شبيـح عبـد الكريـم</v>
          </cell>
        </row>
        <row r="600">
          <cell r="B600" t="str">
            <v>عاشـور إلهـام</v>
          </cell>
        </row>
        <row r="601">
          <cell r="B601" t="str">
            <v>عمـرون جمـال</v>
          </cell>
        </row>
        <row r="602">
          <cell r="B602" t="str">
            <v>عوينـة أحمـد</v>
          </cell>
        </row>
        <row r="603">
          <cell r="B603" t="str">
            <v>عوينـة الدراجـي</v>
          </cell>
        </row>
        <row r="604">
          <cell r="B604" t="str">
            <v>عيمـر أحمـد سعيـد</v>
          </cell>
        </row>
        <row r="605">
          <cell r="B605" t="str">
            <v>غـلاب ناصـر</v>
          </cell>
        </row>
        <row r="606">
          <cell r="B606" t="str">
            <v>قاسمـي عبـد المالـك</v>
          </cell>
        </row>
        <row r="607">
          <cell r="B607" t="str">
            <v>قلميـن آسيـا</v>
          </cell>
        </row>
        <row r="608">
          <cell r="B608" t="str">
            <v>كـريم عبـد القـادر</v>
          </cell>
        </row>
        <row r="609">
          <cell r="B609" t="str">
            <v>لعمـارة محمـد</v>
          </cell>
        </row>
        <row r="610">
          <cell r="B610" t="str">
            <v>لقمـة جمـال</v>
          </cell>
        </row>
        <row r="611">
          <cell r="B611" t="str">
            <v>مختـاري رضـا</v>
          </cell>
        </row>
        <row r="612">
          <cell r="B612" t="str">
            <v>مـروش سليـم</v>
          </cell>
        </row>
        <row r="613">
          <cell r="B613" t="str">
            <v>مزعـاش محمـد</v>
          </cell>
        </row>
        <row r="614">
          <cell r="B614" t="str">
            <v>معـروف نجـود</v>
          </cell>
        </row>
        <row r="615">
          <cell r="B615" t="str">
            <v>ملوكـي ناديـة</v>
          </cell>
        </row>
        <row r="616">
          <cell r="B616" t="str">
            <v>مهـدي زلاقـي</v>
          </cell>
        </row>
        <row r="617">
          <cell r="B617" t="str">
            <v>ميـرة مصطفـى</v>
          </cell>
        </row>
        <row r="618">
          <cell r="B618" t="str">
            <v>نـور مجيـد</v>
          </cell>
        </row>
        <row r="619">
          <cell r="B619" t="str">
            <v>نويـوة وردة</v>
          </cell>
        </row>
        <row r="620">
          <cell r="B620" t="str">
            <v>وحشـي عـز الديـن</v>
          </cell>
        </row>
        <row r="621">
          <cell r="B621" t="str">
            <v>ياحـي لبنـى</v>
          </cell>
        </row>
        <row r="622">
          <cell r="B622" t="str">
            <v>يحـي عياشـي</v>
          </cell>
        </row>
        <row r="623">
          <cell r="B623" t="str">
            <v>يعقوبـي فطيمـة</v>
          </cell>
        </row>
        <row r="624">
          <cell r="B624" t="str">
            <v>بسكـر مسعـود</v>
          </cell>
        </row>
        <row r="625">
          <cell r="B625" t="str">
            <v>بلواضـح أحمـد</v>
          </cell>
        </row>
        <row r="626">
          <cell r="B626" t="str">
            <v>خيـري جمـال</v>
          </cell>
        </row>
        <row r="627">
          <cell r="B627" t="str">
            <v>سعـودي بـن الطيـب</v>
          </cell>
        </row>
        <row r="628">
          <cell r="B628" t="str">
            <v>سماحـي ثـامـر</v>
          </cell>
        </row>
        <row r="629">
          <cell r="B629" t="str">
            <v>طيبـة عبـد الـرزاق</v>
          </cell>
        </row>
        <row r="630">
          <cell r="B630" t="str">
            <v>عباسـي عبـد الحفيـظ</v>
          </cell>
        </row>
        <row r="631">
          <cell r="B631" t="str">
            <v>عجيـري فتيحـة</v>
          </cell>
        </row>
        <row r="632">
          <cell r="B632" t="str">
            <v>لوعيـل ثامـر</v>
          </cell>
        </row>
        <row r="633">
          <cell r="B633" t="str">
            <v>هنـي رمضـان</v>
          </cell>
        </row>
        <row r="634">
          <cell r="B634" t="str">
            <v>بحـاش عبـد الرحمـان</v>
          </cell>
        </row>
        <row r="635">
          <cell r="B635" t="str">
            <v>بختـاوي رمضـان</v>
          </cell>
        </row>
        <row r="636">
          <cell r="B636" t="str">
            <v>بوديلمـي فاطمـة</v>
          </cell>
        </row>
        <row r="637">
          <cell r="B637" t="str">
            <v>بـورزق إسماعيـل</v>
          </cell>
        </row>
        <row r="638">
          <cell r="B638" t="str">
            <v>بوسعديـة محمـد</v>
          </cell>
        </row>
        <row r="639">
          <cell r="B639" t="str">
            <v>جزولـي نـورة</v>
          </cell>
        </row>
        <row r="640">
          <cell r="B640" t="str">
            <v>حريـزي الدراجـي</v>
          </cell>
        </row>
        <row r="641">
          <cell r="B641" t="str">
            <v>حلفايـة مخلـوف</v>
          </cell>
        </row>
        <row r="642">
          <cell r="B642" t="str">
            <v>زرواق محمـد</v>
          </cell>
        </row>
        <row r="643">
          <cell r="B643" t="str">
            <v>سعـودي معمـر</v>
          </cell>
        </row>
        <row r="644">
          <cell r="B644" t="str">
            <v>طـلاب عبـد القـادر</v>
          </cell>
        </row>
        <row r="645">
          <cell r="B645" t="str">
            <v>فايـد فايـد</v>
          </cell>
        </row>
        <row r="646">
          <cell r="B646" t="str">
            <v>فراحتيـة زوينـة</v>
          </cell>
        </row>
        <row r="647">
          <cell r="B647" t="str">
            <v>قـروم موسـى</v>
          </cell>
        </row>
        <row r="648">
          <cell r="B648" t="str">
            <v>قسميـة محمـد</v>
          </cell>
        </row>
        <row r="649">
          <cell r="B649" t="str">
            <v>قهـار علـي</v>
          </cell>
        </row>
        <row r="650">
          <cell r="B650" t="str">
            <v>لصفـر بلقاسـم</v>
          </cell>
        </row>
        <row r="651">
          <cell r="B651" t="str">
            <v>لمونـس علـي</v>
          </cell>
        </row>
        <row r="652">
          <cell r="B652" t="str">
            <v>محـرز سميـر</v>
          </cell>
        </row>
        <row r="653">
          <cell r="B653" t="str">
            <v>نـش رزيقـة</v>
          </cell>
        </row>
        <row r="654">
          <cell r="B654" t="str">
            <v>بـدار محمـد</v>
          </cell>
        </row>
        <row r="655">
          <cell r="B655" t="str">
            <v>عمـرون الطاهـر</v>
          </cell>
        </row>
        <row r="656">
          <cell r="B656" t="str">
            <v>العيفـة العربـي</v>
          </cell>
        </row>
        <row r="657">
          <cell r="B657" t="str">
            <v>بختـي بـولال</v>
          </cell>
        </row>
        <row r="658">
          <cell r="B658" t="str">
            <v>بريكـي عائشـة</v>
          </cell>
        </row>
        <row r="659">
          <cell r="B659" t="str">
            <v>بكيـر السعيـد</v>
          </cell>
        </row>
        <row r="660">
          <cell r="B660" t="str">
            <v>بلخيـر حـدة</v>
          </cell>
        </row>
        <row r="661">
          <cell r="B661" t="str">
            <v>بلعامـر سعيـد</v>
          </cell>
        </row>
        <row r="662">
          <cell r="B662" t="str">
            <v>بلقيبـش أحمـد</v>
          </cell>
        </row>
        <row r="663">
          <cell r="B663" t="str">
            <v>بـن أحميـدة محمـد</v>
          </cell>
        </row>
        <row r="664">
          <cell r="B664" t="str">
            <v>بـن القبـي مولـود</v>
          </cell>
        </row>
        <row r="665">
          <cell r="B665" t="str">
            <v>بـن النـوي محمـد</v>
          </cell>
        </row>
        <row r="666">
          <cell r="B666" t="str">
            <v>بـن سليمـان فاطمـة الزهـراء</v>
          </cell>
        </row>
        <row r="667">
          <cell r="B667" t="str">
            <v>بـن عـادل أسامـة</v>
          </cell>
        </row>
        <row r="668">
          <cell r="B668" t="str">
            <v>بـن عاشـور محمـد</v>
          </cell>
        </row>
        <row r="669">
          <cell r="B669" t="str">
            <v>بـن غنـام حنيفـة</v>
          </cell>
        </row>
        <row r="670">
          <cell r="B670" t="str">
            <v>بـن موسـى كمـال</v>
          </cell>
        </row>
        <row r="671">
          <cell r="B671" t="str">
            <v>بو مدوحـة إسمـاعيـل</v>
          </cell>
        </row>
        <row r="672">
          <cell r="B672" t="str">
            <v>بوبعايـة جمـال</v>
          </cell>
        </row>
        <row r="673">
          <cell r="B673" t="str">
            <v>بوحفـص عبـد القـادر</v>
          </cell>
        </row>
        <row r="674">
          <cell r="B674" t="str">
            <v>بوشيبـة عبد الحـق</v>
          </cell>
        </row>
        <row r="675">
          <cell r="B675" t="str">
            <v>بوصبـع أمـال</v>
          </cell>
        </row>
        <row r="676">
          <cell r="B676" t="str">
            <v>بوصبـع علـي</v>
          </cell>
        </row>
        <row r="677">
          <cell r="B677" t="str">
            <v>بوضيـاف نصـر الديـن</v>
          </cell>
        </row>
        <row r="678">
          <cell r="B678" t="str">
            <v>بوعبـد اللـه زبيـدة</v>
          </cell>
        </row>
        <row r="679">
          <cell r="B679" t="str">
            <v>بوغـرارة محسـن</v>
          </cell>
        </row>
        <row r="680">
          <cell r="B680" t="str">
            <v>تالـي عمـر</v>
          </cell>
        </row>
        <row r="681">
          <cell r="B681" t="str">
            <v>تبانـي فتيحـة</v>
          </cell>
        </row>
        <row r="682">
          <cell r="B682" t="str">
            <v>تركـي عمـر</v>
          </cell>
        </row>
        <row r="683">
          <cell r="B683" t="str">
            <v>تواتـي علجيـة</v>
          </cell>
        </row>
        <row r="684">
          <cell r="B684" t="str">
            <v>تواتـي عمـر</v>
          </cell>
        </row>
        <row r="685">
          <cell r="B685" t="str">
            <v>جديلـي محمـد</v>
          </cell>
        </row>
        <row r="686">
          <cell r="B686" t="str">
            <v>جعفـر محمـد</v>
          </cell>
        </row>
        <row r="687">
          <cell r="B687" t="str">
            <v>جعفـر محمـد</v>
          </cell>
        </row>
        <row r="688">
          <cell r="B688" t="str">
            <v>جـودي علـي</v>
          </cell>
        </row>
        <row r="689">
          <cell r="B689" t="str">
            <v>حـاج حفصـي رضـوان</v>
          </cell>
        </row>
        <row r="690">
          <cell r="B690" t="str">
            <v>حتحـات ميلـود</v>
          </cell>
        </row>
        <row r="691">
          <cell r="B691" t="str">
            <v>حجـاب العـارم</v>
          </cell>
        </row>
        <row r="692">
          <cell r="B692" t="str">
            <v>حسينـي علـي</v>
          </cell>
        </row>
        <row r="693">
          <cell r="B693" t="str">
            <v>حنـة عمـر</v>
          </cell>
        </row>
        <row r="694">
          <cell r="B694" t="str">
            <v>خنفـار محمـد جمـال</v>
          </cell>
        </row>
        <row r="695">
          <cell r="B695" t="str">
            <v>خيـري فيصـل</v>
          </cell>
        </row>
        <row r="696">
          <cell r="B696" t="str">
            <v>دحـة صفيـة</v>
          </cell>
        </row>
        <row r="697">
          <cell r="B697" t="str">
            <v>دحمـان بهـي الديـن</v>
          </cell>
        </row>
        <row r="698">
          <cell r="B698" t="str">
            <v>دحمـون حليمـة</v>
          </cell>
        </row>
        <row r="699">
          <cell r="B699" t="str">
            <v>دهيمـي المسعـود</v>
          </cell>
        </row>
        <row r="700">
          <cell r="B700" t="str">
            <v>روينـي الحمـلاوي</v>
          </cell>
        </row>
        <row r="701">
          <cell r="B701" t="str">
            <v>زايـدي محفـوظ</v>
          </cell>
        </row>
        <row r="702">
          <cell r="B702" t="str">
            <v>سالـم بدر الديـن</v>
          </cell>
        </row>
        <row r="703">
          <cell r="B703" t="str">
            <v>سالـم نصيـرة</v>
          </cell>
        </row>
        <row r="704">
          <cell r="B704" t="str">
            <v>سعـادة مـروان</v>
          </cell>
        </row>
        <row r="705">
          <cell r="B705" t="str">
            <v>سعـد اللـه حـدة</v>
          </cell>
        </row>
        <row r="706">
          <cell r="B706" t="str">
            <v>سعـد اللـه فطيمـة</v>
          </cell>
        </row>
        <row r="707">
          <cell r="B707" t="str">
            <v>سعيـد حكيـم</v>
          </cell>
        </row>
        <row r="708">
          <cell r="B708" t="str">
            <v>سلامـي سميـرة</v>
          </cell>
        </row>
        <row r="709">
          <cell r="B709" t="str">
            <v>سلمانـي محمـد</v>
          </cell>
        </row>
        <row r="710">
          <cell r="B710" t="str">
            <v>سويـدي عبـد القـادر</v>
          </cell>
        </row>
        <row r="711">
          <cell r="B711" t="str">
            <v>سويسـي مفتـاح</v>
          </cell>
        </row>
        <row r="712">
          <cell r="B712" t="str">
            <v>شبلـي سعـد</v>
          </cell>
        </row>
        <row r="713">
          <cell r="B713" t="str">
            <v>شـداد صـلاح الديـن</v>
          </cell>
        </row>
        <row r="714">
          <cell r="B714" t="str">
            <v>شعبـي ربيحـة</v>
          </cell>
        </row>
        <row r="715">
          <cell r="B715" t="str">
            <v>شلابـي الصخـراوي</v>
          </cell>
        </row>
        <row r="716">
          <cell r="B716" t="str">
            <v>صالحـي حـدة</v>
          </cell>
        </row>
        <row r="717">
          <cell r="B717" t="str">
            <v>ضبابـي أحمـد شقيـري</v>
          </cell>
        </row>
        <row r="718">
          <cell r="B718" t="str">
            <v>طـارد منصـور</v>
          </cell>
        </row>
        <row r="719">
          <cell r="B719" t="str">
            <v>طاهـي المسعـود</v>
          </cell>
        </row>
        <row r="720">
          <cell r="B720" t="str">
            <v>عثمانـي بلقاسـم</v>
          </cell>
        </row>
        <row r="721">
          <cell r="B721" t="str">
            <v>عـلال محمـد</v>
          </cell>
        </row>
        <row r="722">
          <cell r="B722" t="str">
            <v>عويمـر إبراهيـم</v>
          </cell>
        </row>
        <row r="723">
          <cell r="B723" t="str">
            <v>عيـاش ثامـر</v>
          </cell>
        </row>
        <row r="724">
          <cell r="B724" t="str">
            <v>غربـي الخامسـة</v>
          </cell>
        </row>
        <row r="725">
          <cell r="B725" t="str">
            <v>غربـي مصطفـى</v>
          </cell>
        </row>
        <row r="726">
          <cell r="B726" t="str">
            <v>فضيـل عبـد الحميـد</v>
          </cell>
        </row>
        <row r="727">
          <cell r="B727" t="str">
            <v>فوضيـل العلمـي</v>
          </cell>
        </row>
        <row r="728">
          <cell r="B728" t="str">
            <v>قـراري مباركـة</v>
          </cell>
        </row>
        <row r="729">
          <cell r="B729" t="str">
            <v>قرنـازي الطاهـر</v>
          </cell>
        </row>
        <row r="730">
          <cell r="B730" t="str">
            <v>قريـن رزيقـة</v>
          </cell>
        </row>
        <row r="731">
          <cell r="B731" t="str">
            <v>قصـاب المسعـود</v>
          </cell>
        </row>
        <row r="732">
          <cell r="B732" t="str">
            <v>قليـل نور الديـن</v>
          </cell>
        </row>
        <row r="733">
          <cell r="B733" t="str">
            <v>قنـادي خالـد</v>
          </cell>
        </row>
        <row r="734">
          <cell r="B734" t="str">
            <v>قوادريـة خيـرة</v>
          </cell>
        </row>
        <row r="735">
          <cell r="B735" t="str">
            <v>كـداد حمـزة</v>
          </cell>
        </row>
        <row r="736">
          <cell r="B736" t="str">
            <v>كرميـش المبـروك</v>
          </cell>
        </row>
        <row r="737">
          <cell r="B737" t="str">
            <v>كريـم رابـح</v>
          </cell>
        </row>
        <row r="738">
          <cell r="B738" t="str">
            <v>لحـوم عمـر</v>
          </cell>
        </row>
        <row r="739">
          <cell r="B739" t="str">
            <v>لعلـى العمريـة</v>
          </cell>
        </row>
        <row r="740">
          <cell r="B740" t="str">
            <v>لعمـاري بوختالـة</v>
          </cell>
        </row>
        <row r="741">
          <cell r="B741" t="str">
            <v>لقـوي الخذيـر</v>
          </cell>
        </row>
        <row r="742">
          <cell r="B742" t="str">
            <v>مجنـاح خليفـة</v>
          </cell>
        </row>
        <row r="743">
          <cell r="B743" t="str">
            <v>محمـد سعـد عبـد الحليـم</v>
          </cell>
        </row>
        <row r="744">
          <cell r="B744" t="str">
            <v>مراحـي أحمـد</v>
          </cell>
        </row>
        <row r="745">
          <cell r="B745" t="str">
            <v>مسعـودي عمـر</v>
          </cell>
        </row>
        <row r="746">
          <cell r="B746" t="str">
            <v>معيـوف زهيـر</v>
          </cell>
        </row>
        <row r="747">
          <cell r="B747" t="str">
            <v>منصـور صالـح</v>
          </cell>
        </row>
        <row r="748">
          <cell r="B748" t="str">
            <v>موسـود سفيـان</v>
          </cell>
        </row>
        <row r="749">
          <cell r="B749" t="str">
            <v>ميهوبـي إسمـاعيـن</v>
          </cell>
        </row>
        <row r="750">
          <cell r="B750" t="str">
            <v>نابـي الطاهـر</v>
          </cell>
        </row>
        <row r="751">
          <cell r="B751" t="str">
            <v>نويصـر الغاليـة</v>
          </cell>
        </row>
        <row r="752">
          <cell r="B752" t="str">
            <v>يحـي إيديـري</v>
          </cell>
        </row>
        <row r="753">
          <cell r="B753" t="str">
            <v>يحيـاوي أحمـد</v>
          </cell>
        </row>
        <row r="754">
          <cell r="B754" t="str">
            <v>يعـلاوي طـارق</v>
          </cell>
        </row>
      </sheetData>
      <sheetData sheetId="5"/>
      <sheetData sheetId="6">
        <row r="6">
          <cell r="B6" t="str">
            <v>البنـك الخارجـي الجزائـري</v>
          </cell>
        </row>
        <row r="7">
          <cell r="B7" t="str">
            <v>البنـك الوطنـي الجزائـري</v>
          </cell>
        </row>
        <row r="8">
          <cell r="B8" t="str">
            <v>الحسـاب الجـاري البريـدي ـ الجزائـر</v>
          </cell>
        </row>
        <row r="9">
          <cell r="B9" t="str">
            <v>الخزينـة</v>
          </cell>
        </row>
        <row r="10">
          <cell r="B10" t="str">
            <v>الخزينـة ـ ولايـة المسيلـة</v>
          </cell>
        </row>
        <row r="11">
          <cell r="B11" t="str">
            <v>الصنـدوق الوطنـي للتـوفيـر والإحتيـاط ـ وكالـة المسيلـة</v>
          </cell>
        </row>
        <row r="12">
          <cell r="B12" t="str">
            <v>القـرض الشعبـي الجزائـري ـ وكالـة المسيلـة</v>
          </cell>
        </row>
        <row r="13">
          <cell r="B13" t="str">
            <v>بنـك البركـة</v>
          </cell>
        </row>
        <row r="14">
          <cell r="B14" t="str">
            <v>بنـك التنميـة المحليـة ـ وكالـة المسيلـة</v>
          </cell>
        </row>
        <row r="15">
          <cell r="B15" t="str">
            <v>بنـك التنميـة المحليـة ـ وكالـة بوسعـادة</v>
          </cell>
        </row>
        <row r="16">
          <cell r="B16" t="str">
            <v>بنـك الفلاحـة والتنميـة الريفيـة ـ وكالـة المسيلـة</v>
          </cell>
        </row>
        <row r="17">
          <cell r="B17" t="str">
            <v>بنـك سوسيتـي جينيـرال ـ وكالـة بـرج بـوعريريـج</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mmune"/>
      <sheetName val="Remise"/>
      <sheetName val="Opiration"/>
      <sheetName val="Consommation"/>
      <sheetName val="CP"/>
      <sheetName val="Journal"/>
      <sheetName val="Mandat"/>
      <sheetName val="بطاقة الدفع"/>
      <sheetName val="ORDPCCP"/>
      <sheetName val="PORG.H.PLA"/>
      <sheetName val="Feuil1"/>
      <sheetName val="Feuil2"/>
      <sheetName val="Feuil3"/>
      <sheetName val="MANDAT-NORMAL"/>
    </sheetNames>
    <sheetDataSet>
      <sheetData sheetId="0"/>
      <sheetData sheetId="1">
        <row r="2">
          <cell r="A2">
            <v>169</v>
          </cell>
          <cell r="B2" t="str">
            <v>اسليم</v>
          </cell>
          <cell r="C2">
            <v>173</v>
          </cell>
          <cell r="D2">
            <v>173</v>
          </cell>
        </row>
        <row r="3">
          <cell r="A3">
            <v>152</v>
          </cell>
          <cell r="B3" t="str">
            <v>الحوامد</v>
          </cell>
          <cell r="C3">
            <v>133</v>
          </cell>
          <cell r="D3">
            <v>146</v>
          </cell>
        </row>
        <row r="4">
          <cell r="A4">
            <v>133</v>
          </cell>
          <cell r="B4" t="str">
            <v>الخبانة</v>
          </cell>
          <cell r="C4">
            <v>133</v>
          </cell>
          <cell r="D4">
            <v>146</v>
          </cell>
        </row>
        <row r="5">
          <cell r="A5">
            <v>156</v>
          </cell>
          <cell r="B5" t="str">
            <v>الدهاهنة</v>
          </cell>
          <cell r="C5">
            <v>137</v>
          </cell>
          <cell r="D5">
            <v>137</v>
          </cell>
        </row>
        <row r="6">
          <cell r="A6">
            <v>159</v>
          </cell>
          <cell r="B6" t="str">
            <v>الزرزور</v>
          </cell>
          <cell r="C6">
            <v>150</v>
          </cell>
          <cell r="D6">
            <v>150</v>
          </cell>
        </row>
        <row r="7">
          <cell r="A7">
            <v>166</v>
          </cell>
          <cell r="B7" t="str">
            <v>السوامع</v>
          </cell>
          <cell r="C7">
            <v>130</v>
          </cell>
          <cell r="D7">
            <v>130</v>
          </cell>
        </row>
        <row r="8">
          <cell r="A8">
            <v>135</v>
          </cell>
          <cell r="B8" t="str">
            <v>الشلال</v>
          </cell>
          <cell r="C8">
            <v>135</v>
          </cell>
          <cell r="D8">
            <v>135</v>
          </cell>
        </row>
        <row r="9">
          <cell r="A9">
            <v>127</v>
          </cell>
          <cell r="B9" t="str">
            <v>المسيلة</v>
          </cell>
          <cell r="C9">
            <v>127</v>
          </cell>
          <cell r="D9">
            <v>127</v>
          </cell>
        </row>
        <row r="10">
          <cell r="A10">
            <v>155</v>
          </cell>
          <cell r="B10" t="str">
            <v>المعاريف</v>
          </cell>
          <cell r="C10">
            <v>135</v>
          </cell>
          <cell r="D10">
            <v>135</v>
          </cell>
        </row>
        <row r="11">
          <cell r="A11">
            <v>153</v>
          </cell>
          <cell r="B11" t="str">
            <v>الهامل</v>
          </cell>
          <cell r="C11">
            <v>146</v>
          </cell>
          <cell r="D11">
            <v>146</v>
          </cell>
        </row>
        <row r="12">
          <cell r="A12">
            <v>168</v>
          </cell>
          <cell r="B12" t="str">
            <v>امجدل</v>
          </cell>
          <cell r="C12">
            <v>168</v>
          </cell>
          <cell r="D12">
            <v>168</v>
          </cell>
        </row>
        <row r="13">
          <cell r="A13">
            <v>134</v>
          </cell>
          <cell r="B13" t="str">
            <v>امسيف</v>
          </cell>
          <cell r="C13">
            <v>133</v>
          </cell>
          <cell r="D13">
            <v>146</v>
          </cell>
        </row>
        <row r="14">
          <cell r="A14">
            <v>130</v>
          </cell>
          <cell r="B14" t="str">
            <v>أولاد دراج</v>
          </cell>
          <cell r="C14">
            <v>130</v>
          </cell>
          <cell r="D14">
            <v>130</v>
          </cell>
        </row>
        <row r="15">
          <cell r="A15">
            <v>151</v>
          </cell>
          <cell r="B15" t="str">
            <v>أولاد سليمان</v>
          </cell>
          <cell r="C15">
            <v>150</v>
          </cell>
          <cell r="D15">
            <v>150</v>
          </cell>
        </row>
        <row r="16">
          <cell r="A16">
            <v>147</v>
          </cell>
          <cell r="B16" t="str">
            <v>أولاد سيدي إبراهيم</v>
          </cell>
          <cell r="C16">
            <v>147</v>
          </cell>
          <cell r="D16">
            <v>147</v>
          </cell>
        </row>
        <row r="17">
          <cell r="A17">
            <v>140</v>
          </cell>
          <cell r="B17" t="str">
            <v>أولاد عدي لقبالة</v>
          </cell>
          <cell r="C17">
            <v>130</v>
          </cell>
          <cell r="D17">
            <v>130</v>
          </cell>
        </row>
        <row r="18">
          <cell r="A18">
            <v>136</v>
          </cell>
          <cell r="B18" t="str">
            <v>أولاد ماضي</v>
          </cell>
          <cell r="C18">
            <v>135</v>
          </cell>
          <cell r="D18">
            <v>135</v>
          </cell>
        </row>
        <row r="19">
          <cell r="A19">
            <v>154</v>
          </cell>
          <cell r="B19" t="str">
            <v>أولاد منصور</v>
          </cell>
          <cell r="C19">
            <v>129</v>
          </cell>
          <cell r="D19">
            <v>129</v>
          </cell>
        </row>
        <row r="20">
          <cell r="A20">
            <v>138</v>
          </cell>
          <cell r="B20" t="str">
            <v>برهوم</v>
          </cell>
          <cell r="C20">
            <v>137</v>
          </cell>
          <cell r="D20">
            <v>137</v>
          </cell>
        </row>
        <row r="21">
          <cell r="A21">
            <v>141</v>
          </cell>
          <cell r="B21" t="str">
            <v>بلعايبة</v>
          </cell>
          <cell r="C21">
            <v>137</v>
          </cell>
          <cell r="D21">
            <v>137</v>
          </cell>
        </row>
        <row r="22">
          <cell r="A22">
            <v>150</v>
          </cell>
          <cell r="B22" t="str">
            <v>بن سرور</v>
          </cell>
          <cell r="C22">
            <v>150</v>
          </cell>
          <cell r="D22">
            <v>150</v>
          </cell>
        </row>
        <row r="23">
          <cell r="A23">
            <v>161</v>
          </cell>
          <cell r="B23" t="str">
            <v>بنزوه</v>
          </cell>
          <cell r="C23">
            <v>147</v>
          </cell>
          <cell r="D23">
            <v>147</v>
          </cell>
        </row>
        <row r="24">
          <cell r="A24">
            <v>171</v>
          </cell>
          <cell r="B24" t="str">
            <v>بني ايلمان</v>
          </cell>
          <cell r="C24">
            <v>142</v>
          </cell>
          <cell r="D24">
            <v>142</v>
          </cell>
        </row>
        <row r="25">
          <cell r="A25">
            <v>146</v>
          </cell>
          <cell r="B25" t="str">
            <v>بوسعادة</v>
          </cell>
          <cell r="C25">
            <v>146</v>
          </cell>
          <cell r="D25">
            <v>146</v>
          </cell>
        </row>
        <row r="26">
          <cell r="A26">
            <v>157</v>
          </cell>
          <cell r="B26" t="str">
            <v>بوطي السايح</v>
          </cell>
          <cell r="C26">
            <v>142</v>
          </cell>
          <cell r="D26">
            <v>142</v>
          </cell>
        </row>
        <row r="27">
          <cell r="A27">
            <v>162</v>
          </cell>
          <cell r="B27" t="str">
            <v>بير فضة</v>
          </cell>
          <cell r="C27">
            <v>167</v>
          </cell>
          <cell r="D27">
            <v>167</v>
          </cell>
        </row>
        <row r="28">
          <cell r="A28">
            <v>131</v>
          </cell>
          <cell r="B28" t="str">
            <v>تارمونت</v>
          </cell>
          <cell r="C28">
            <v>129</v>
          </cell>
          <cell r="D28">
            <v>129</v>
          </cell>
        </row>
        <row r="29">
          <cell r="A29">
            <v>149</v>
          </cell>
          <cell r="B29" t="str">
            <v>تامسة</v>
          </cell>
          <cell r="C29">
            <v>148</v>
          </cell>
          <cell r="D29">
            <v>146</v>
          </cell>
        </row>
        <row r="30">
          <cell r="A30">
            <v>173</v>
          </cell>
          <cell r="B30" t="str">
            <v>جبل امساعد</v>
          </cell>
          <cell r="C30">
            <v>173</v>
          </cell>
          <cell r="D30">
            <v>173</v>
          </cell>
        </row>
        <row r="31">
          <cell r="A31">
            <v>129</v>
          </cell>
          <cell r="B31" t="str">
            <v>حمام الضلعة</v>
          </cell>
          <cell r="C31">
            <v>129</v>
          </cell>
          <cell r="D31">
            <v>129</v>
          </cell>
        </row>
        <row r="32">
          <cell r="A32">
            <v>158</v>
          </cell>
          <cell r="B32" t="str">
            <v>خطوطي سد الجير</v>
          </cell>
          <cell r="C32">
            <v>135</v>
          </cell>
          <cell r="D32">
            <v>135</v>
          </cell>
        </row>
        <row r="33">
          <cell r="A33">
            <v>164</v>
          </cell>
          <cell r="B33" t="str">
            <v>سيدي امحمد</v>
          </cell>
          <cell r="C33">
            <v>167</v>
          </cell>
          <cell r="D33">
            <v>167</v>
          </cell>
        </row>
        <row r="34">
          <cell r="A34">
            <v>148</v>
          </cell>
          <cell r="B34" t="str">
            <v>سيدي عامر</v>
          </cell>
          <cell r="C34">
            <v>148</v>
          </cell>
          <cell r="D34">
            <v>146</v>
          </cell>
        </row>
        <row r="35">
          <cell r="A35">
            <v>142</v>
          </cell>
          <cell r="B35" t="str">
            <v>سيدي عيسى</v>
          </cell>
          <cell r="C35">
            <v>142</v>
          </cell>
          <cell r="D35">
            <v>142</v>
          </cell>
        </row>
        <row r="36">
          <cell r="A36">
            <v>144</v>
          </cell>
          <cell r="B36" t="str">
            <v>سيدي هجرس</v>
          </cell>
          <cell r="C36">
            <v>143</v>
          </cell>
          <cell r="D36">
            <v>143</v>
          </cell>
        </row>
        <row r="37">
          <cell r="A37">
            <v>143</v>
          </cell>
          <cell r="B37" t="str">
            <v>عين الحجل</v>
          </cell>
          <cell r="C37">
            <v>143</v>
          </cell>
          <cell r="D37">
            <v>143</v>
          </cell>
        </row>
        <row r="38">
          <cell r="A38">
            <v>139</v>
          </cell>
          <cell r="B38" t="str">
            <v xml:space="preserve">عين الخضراء </v>
          </cell>
          <cell r="C38">
            <v>137</v>
          </cell>
          <cell r="D38">
            <v>137</v>
          </cell>
        </row>
        <row r="39">
          <cell r="A39">
            <v>170</v>
          </cell>
          <cell r="B39" t="str">
            <v>عين الريش</v>
          </cell>
          <cell r="C39">
            <v>167</v>
          </cell>
          <cell r="D39">
            <v>167</v>
          </cell>
        </row>
        <row r="40">
          <cell r="A40">
            <v>167</v>
          </cell>
          <cell r="B40" t="str">
            <v>عين الملح</v>
          </cell>
          <cell r="C40">
            <v>167</v>
          </cell>
          <cell r="D40">
            <v>167</v>
          </cell>
        </row>
        <row r="41">
          <cell r="A41">
            <v>163</v>
          </cell>
          <cell r="B41" t="str">
            <v>عين فارس</v>
          </cell>
          <cell r="C41">
            <v>167</v>
          </cell>
          <cell r="D41">
            <v>167</v>
          </cell>
        </row>
        <row r="42">
          <cell r="A42">
            <v>160</v>
          </cell>
          <cell r="B42" t="str">
            <v>محمد بوضياف</v>
          </cell>
          <cell r="C42">
            <v>150</v>
          </cell>
          <cell r="D42">
            <v>150</v>
          </cell>
        </row>
        <row r="43">
          <cell r="A43">
            <v>132</v>
          </cell>
          <cell r="B43" t="str">
            <v>مطارفة</v>
          </cell>
          <cell r="C43">
            <v>130</v>
          </cell>
          <cell r="D43">
            <v>130</v>
          </cell>
        </row>
        <row r="44">
          <cell r="A44">
            <v>128</v>
          </cell>
          <cell r="B44" t="str">
            <v>معاضيد</v>
          </cell>
          <cell r="C44">
            <v>130</v>
          </cell>
          <cell r="D44">
            <v>130</v>
          </cell>
        </row>
        <row r="45">
          <cell r="A45">
            <v>137</v>
          </cell>
          <cell r="B45" t="str">
            <v>مقرة</v>
          </cell>
          <cell r="C45">
            <v>137</v>
          </cell>
          <cell r="D45">
            <v>137</v>
          </cell>
        </row>
        <row r="46">
          <cell r="A46">
            <v>165</v>
          </cell>
          <cell r="B46" t="str">
            <v>مناعة</v>
          </cell>
          <cell r="C46">
            <v>168</v>
          </cell>
          <cell r="D46">
            <v>168</v>
          </cell>
        </row>
        <row r="47">
          <cell r="A47">
            <v>172</v>
          </cell>
          <cell r="B47" t="str">
            <v>ولتام</v>
          </cell>
          <cell r="C47">
            <v>146</v>
          </cell>
          <cell r="D47">
            <v>146</v>
          </cell>
        </row>
        <row r="48">
          <cell r="A48">
            <v>145</v>
          </cell>
          <cell r="B48" t="str">
            <v>ونوغة</v>
          </cell>
          <cell r="C48">
            <v>129</v>
          </cell>
          <cell r="D48">
            <v>129</v>
          </cell>
        </row>
      </sheetData>
      <sheetData sheetId="2"/>
      <sheetData sheetId="3"/>
      <sheetData sheetId="4"/>
      <sheetData sheetId="5"/>
      <sheetData sheetId="6"/>
      <sheetData sheetId="7"/>
      <sheetData sheetId="8"/>
      <sheetData sheetId="9"/>
      <sheetData sheetId="10"/>
      <sheetData sheetId="11">
        <row r="1">
          <cell r="A1">
            <v>391</v>
          </cell>
          <cell r="B1" t="str">
            <v>التزود بالمياه الصالحة للشرب</v>
          </cell>
        </row>
        <row r="2">
          <cell r="A2">
            <v>392</v>
          </cell>
          <cell r="B2" t="str">
            <v>التطهير</v>
          </cell>
        </row>
        <row r="3">
          <cell r="A3">
            <v>394</v>
          </cell>
          <cell r="B3" t="str">
            <v>البيئة</v>
          </cell>
        </row>
        <row r="4">
          <cell r="A4">
            <v>591</v>
          </cell>
          <cell r="B4" t="str">
            <v>طرقات ومسالك</v>
          </cell>
        </row>
        <row r="5">
          <cell r="A5">
            <v>593</v>
          </cell>
          <cell r="B5" t="str">
            <v>بريد ومواصلات</v>
          </cell>
        </row>
        <row r="6">
          <cell r="A6">
            <v>891</v>
          </cell>
          <cell r="B6" t="str">
            <v>مباني بلدية</v>
          </cell>
        </row>
        <row r="7">
          <cell r="A7">
            <v>992</v>
          </cell>
          <cell r="B7" t="str">
            <v>تسيير بلدي في المناطق اللازم ترقيتها</v>
          </cell>
        </row>
        <row r="8">
          <cell r="A8">
            <v>691</v>
          </cell>
          <cell r="B8" t="str">
            <v>تربية وتكوين</v>
          </cell>
        </row>
        <row r="9">
          <cell r="A9">
            <v>793</v>
          </cell>
          <cell r="B9" t="str">
            <v>تهيئة حضرية</v>
          </cell>
        </row>
        <row r="10">
          <cell r="A10">
            <v>794</v>
          </cell>
          <cell r="B10" t="str">
            <v>صحة ونظافة</v>
          </cell>
        </row>
        <row r="11">
          <cell r="A11">
            <v>795</v>
          </cell>
          <cell r="B11" t="str">
            <v>ثقافة وتسلية</v>
          </cell>
        </row>
        <row r="12">
          <cell r="A12">
            <v>796</v>
          </cell>
          <cell r="B12" t="str">
            <v>شبيبة</v>
          </cell>
        </row>
        <row r="13">
          <cell r="A13">
            <v>797</v>
          </cell>
          <cell r="B13" t="str">
            <v>رياضة</v>
          </cell>
        </row>
      </sheetData>
      <sheetData sheetId="12"/>
      <sheetData sheetId="13"/>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ZONE V "/>
      <sheetName val="BASE1"/>
      <sheetName val="BASE6"/>
      <sheetName val="BASE3"/>
      <sheetName val="BASE2"/>
      <sheetName val="BASE4"/>
      <sheetName val="BASE5"/>
      <sheetName val="LES OPERATION"/>
      <sheetName val="1"/>
      <sheetName val="2"/>
      <sheetName val="ENGAGEMENT"/>
      <sheetName val="الأصلية (3)"/>
      <sheetName val="REGISTRE MANDAT"/>
      <sheetName val="الأصلية"/>
      <sheetName val="BASE MANDAT1"/>
      <sheetName val="MANDAT"/>
      <sheetName val="NOTIFICATION "/>
      <sheetName val="يومية الحوالات (2)"/>
      <sheetName val="CH"/>
      <sheetName val="CH (2)"/>
      <sheetName val="جدول إرسال"/>
      <sheetName val="يومية الحوالات (3)"/>
      <sheetName val="وسيط"/>
      <sheetName val="العمليات"/>
      <sheetName val="يومية الحوالات"/>
      <sheetName val="جدول يدوي إحتياطي"/>
      <sheetName val="الجدول"/>
      <sheetName val="الإلتزام"/>
      <sheetName val="ورقة استشارية1"/>
      <sheetName val="ورقة استشارية2"/>
      <sheetName val="الأصلية (2)"/>
      <sheetName val="الأصلية (4)"/>
      <sheetName val="BASE MANDAT1 (2)"/>
      <sheetName val="الأصلية (5)"/>
      <sheetName val="REGISTRE MANDAT (2)"/>
      <sheetName val="ورقة1"/>
      <sheetName val="BASE MANDAT1 (3)"/>
    </sheetNames>
    <sheetDataSet>
      <sheetData sheetId="0" refreshError="1"/>
      <sheetData sheetId="1" refreshError="1"/>
      <sheetData sheetId="2" refreshError="1"/>
      <sheetData sheetId="3" refreshError="1"/>
      <sheetData sheetId="4">
        <row r="5">
          <cell r="B5" t="str">
            <v>بـن موسـى فاتـح</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commune"/>
      <sheetName val="الملحق  "/>
      <sheetName val="المعلومات"/>
      <sheetName val="مقرر"/>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commune"/>
      <sheetName val="الملحق  "/>
      <sheetName val="المعلومات"/>
      <sheetName val="مقرر"/>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euil2"/>
      <sheetName val="PEC PAR ANNE"/>
      <sheetName val="OPERATION (2)"/>
      <sheetName val="list commune"/>
      <sheetName val="Feuil4"/>
      <sheetName val="Feuil6"/>
      <sheetName val="Feuil5"/>
      <sheetName val="2011"/>
      <sheetName val="ecrit"/>
      <sheetName val="cons par mois"/>
      <sheetName val="Feuil8"/>
      <sheetName val="PEC"/>
      <sheetName val="CONS"/>
      <sheetName val="2010-2013"/>
      <sheetName val="PRG HPجاز"/>
      <sheetName val="PRG05-09"/>
      <sheetName val="clot"/>
      <sheetName val="CLOTURE01"/>
      <sheetName val="Feuil3"/>
    </sheetNames>
    <sheetDataSet>
      <sheetData sheetId="0"/>
      <sheetData sheetId="1"/>
      <sheetData sheetId="2"/>
      <sheetData sheetId="3">
        <row r="3">
          <cell r="A3">
            <v>127</v>
          </cell>
          <cell r="B3">
            <v>127</v>
          </cell>
          <cell r="C3" t="str">
            <v>المسيلة</v>
          </cell>
          <cell r="D3" t="str">
            <v>M'SILA</v>
          </cell>
        </row>
        <row r="4">
          <cell r="A4">
            <v>129</v>
          </cell>
          <cell r="B4">
            <v>129</v>
          </cell>
          <cell r="C4" t="str">
            <v>حمام الضلعة</v>
          </cell>
          <cell r="D4" t="str">
            <v>H.DALAA</v>
          </cell>
        </row>
        <row r="5">
          <cell r="A5">
            <v>131</v>
          </cell>
          <cell r="B5">
            <v>129</v>
          </cell>
          <cell r="C5" t="str">
            <v>تارمونت</v>
          </cell>
          <cell r="D5" t="str">
            <v>TARMOUNT</v>
          </cell>
        </row>
        <row r="6">
          <cell r="A6">
            <v>145</v>
          </cell>
          <cell r="B6">
            <v>129</v>
          </cell>
          <cell r="C6" t="str">
            <v>ونوغة</v>
          </cell>
          <cell r="D6" t="str">
            <v>OUANOUGHA</v>
          </cell>
        </row>
        <row r="7">
          <cell r="A7">
            <v>154</v>
          </cell>
          <cell r="B7">
            <v>129</v>
          </cell>
          <cell r="C7" t="str">
            <v>أولاد منصور</v>
          </cell>
          <cell r="D7" t="str">
            <v>O.MANSOUR</v>
          </cell>
        </row>
        <row r="8">
          <cell r="A8">
            <v>128</v>
          </cell>
          <cell r="B8">
            <v>130</v>
          </cell>
          <cell r="C8" t="str">
            <v>معاضيد</v>
          </cell>
          <cell r="D8" t="str">
            <v>MAADID</v>
          </cell>
        </row>
        <row r="9">
          <cell r="A9">
            <v>130</v>
          </cell>
          <cell r="B9">
            <v>130</v>
          </cell>
          <cell r="C9" t="str">
            <v>أولاد دراج</v>
          </cell>
          <cell r="D9" t="str">
            <v>O.DERRADJ</v>
          </cell>
        </row>
        <row r="10">
          <cell r="A10">
            <v>132</v>
          </cell>
          <cell r="B10">
            <v>130</v>
          </cell>
          <cell r="C10" t="str">
            <v>مطارفة</v>
          </cell>
          <cell r="D10" t="str">
            <v>METARFA</v>
          </cell>
        </row>
        <row r="11">
          <cell r="A11">
            <v>140</v>
          </cell>
          <cell r="B11">
            <v>130</v>
          </cell>
          <cell r="C11" t="str">
            <v>أولاد عدي لقبالة</v>
          </cell>
          <cell r="D11" t="str">
            <v>O.E.LEGBALA</v>
          </cell>
        </row>
        <row r="12">
          <cell r="A12">
            <v>166</v>
          </cell>
          <cell r="B12">
            <v>130</v>
          </cell>
          <cell r="C12" t="str">
            <v>السوامع</v>
          </cell>
          <cell r="D12" t="str">
            <v>SOUAMAA</v>
          </cell>
        </row>
        <row r="13">
          <cell r="A13">
            <v>133</v>
          </cell>
          <cell r="B13">
            <v>133</v>
          </cell>
          <cell r="C13" t="str">
            <v>الخبانة</v>
          </cell>
          <cell r="D13" t="str">
            <v>KOUBANA</v>
          </cell>
        </row>
        <row r="14">
          <cell r="A14">
            <v>134</v>
          </cell>
          <cell r="B14">
            <v>133</v>
          </cell>
          <cell r="C14" t="str">
            <v>امسيف</v>
          </cell>
          <cell r="D14" t="str">
            <v>M'SIF</v>
          </cell>
        </row>
        <row r="15">
          <cell r="A15">
            <v>152</v>
          </cell>
          <cell r="B15">
            <v>133</v>
          </cell>
          <cell r="C15" t="str">
            <v>الحوامد</v>
          </cell>
          <cell r="D15" t="str">
            <v>HOUAMED</v>
          </cell>
        </row>
        <row r="16">
          <cell r="A16">
            <v>135</v>
          </cell>
          <cell r="B16">
            <v>135</v>
          </cell>
          <cell r="C16" t="str">
            <v>الشلال</v>
          </cell>
          <cell r="D16" t="str">
            <v>CHELLAL</v>
          </cell>
        </row>
        <row r="17">
          <cell r="A17">
            <v>136</v>
          </cell>
          <cell r="B17">
            <v>135</v>
          </cell>
          <cell r="C17" t="str">
            <v>أولاد ماضي</v>
          </cell>
          <cell r="D17" t="str">
            <v>O.MADHI</v>
          </cell>
        </row>
        <row r="18">
          <cell r="A18">
            <v>155</v>
          </cell>
          <cell r="B18">
            <v>135</v>
          </cell>
          <cell r="C18" t="str">
            <v>المعاريف</v>
          </cell>
          <cell r="D18" t="str">
            <v>MAARIF</v>
          </cell>
        </row>
        <row r="19">
          <cell r="A19">
            <v>158</v>
          </cell>
          <cell r="B19">
            <v>135</v>
          </cell>
          <cell r="C19" t="str">
            <v>خطوطي سد الجير</v>
          </cell>
          <cell r="D19" t="str">
            <v>K.SED ELDJIR</v>
          </cell>
        </row>
        <row r="20">
          <cell r="A20">
            <v>137</v>
          </cell>
          <cell r="B20">
            <v>137</v>
          </cell>
          <cell r="C20" t="str">
            <v>مقرة</v>
          </cell>
          <cell r="D20" t="str">
            <v>MAGRA</v>
          </cell>
        </row>
        <row r="21">
          <cell r="A21">
            <v>138</v>
          </cell>
          <cell r="B21">
            <v>137</v>
          </cell>
          <cell r="C21" t="str">
            <v>برهوم</v>
          </cell>
          <cell r="D21" t="str">
            <v>BARHOUM</v>
          </cell>
        </row>
        <row r="22">
          <cell r="A22">
            <v>139</v>
          </cell>
          <cell r="B22">
            <v>137</v>
          </cell>
          <cell r="C22" t="str">
            <v xml:space="preserve">عين الخضراء </v>
          </cell>
          <cell r="D22" t="str">
            <v>AIN KHADRA</v>
          </cell>
        </row>
        <row r="23">
          <cell r="A23">
            <v>141</v>
          </cell>
          <cell r="B23">
            <v>137</v>
          </cell>
          <cell r="C23" t="str">
            <v>بلعايبة</v>
          </cell>
          <cell r="D23" t="str">
            <v>BELAIBA</v>
          </cell>
        </row>
        <row r="24">
          <cell r="A24">
            <v>156</v>
          </cell>
          <cell r="B24">
            <v>137</v>
          </cell>
          <cell r="C24" t="str">
            <v>الدهاهنة</v>
          </cell>
          <cell r="D24" t="str">
            <v>DEHAHNA</v>
          </cell>
        </row>
        <row r="25">
          <cell r="A25">
            <v>142</v>
          </cell>
          <cell r="B25">
            <v>142</v>
          </cell>
          <cell r="C25" t="str">
            <v>سيدي عيسى</v>
          </cell>
          <cell r="D25" t="str">
            <v>SIDI AISSA</v>
          </cell>
        </row>
        <row r="26">
          <cell r="A26">
            <v>157</v>
          </cell>
          <cell r="B26">
            <v>142</v>
          </cell>
          <cell r="C26" t="str">
            <v>بوطي السايح</v>
          </cell>
          <cell r="D26" t="str">
            <v>BOUTI SAYEH</v>
          </cell>
        </row>
        <row r="27">
          <cell r="A27">
            <v>171</v>
          </cell>
          <cell r="B27">
            <v>142</v>
          </cell>
          <cell r="C27" t="str">
            <v>بني ايلمان</v>
          </cell>
          <cell r="D27" t="str">
            <v>BENI ELMANE</v>
          </cell>
        </row>
        <row r="28">
          <cell r="A28">
            <v>143</v>
          </cell>
          <cell r="B28">
            <v>143</v>
          </cell>
          <cell r="C28" t="str">
            <v>عين الحجل</v>
          </cell>
          <cell r="D28" t="str">
            <v>AIN HEDJEL</v>
          </cell>
        </row>
        <row r="29">
          <cell r="A29">
            <v>144</v>
          </cell>
          <cell r="B29">
            <v>143</v>
          </cell>
          <cell r="C29" t="str">
            <v>سيدي هجرس</v>
          </cell>
          <cell r="D29" t="str">
            <v>SIDI HADJRASS</v>
          </cell>
        </row>
        <row r="30">
          <cell r="A30">
            <v>146</v>
          </cell>
          <cell r="B30">
            <v>146</v>
          </cell>
          <cell r="C30" t="str">
            <v>بوسعادة</v>
          </cell>
          <cell r="D30" t="str">
            <v>BOUSAADA</v>
          </cell>
        </row>
        <row r="31">
          <cell r="A31">
            <v>153</v>
          </cell>
          <cell r="B31">
            <v>146</v>
          </cell>
          <cell r="C31" t="str">
            <v>الهامل</v>
          </cell>
          <cell r="D31" t="str">
            <v>ELHAMEL</v>
          </cell>
        </row>
        <row r="32">
          <cell r="A32">
            <v>172</v>
          </cell>
          <cell r="B32">
            <v>146</v>
          </cell>
          <cell r="C32" t="str">
            <v>ولتام</v>
          </cell>
          <cell r="D32" t="str">
            <v>OULTEM</v>
          </cell>
        </row>
        <row r="33">
          <cell r="A33">
            <v>147</v>
          </cell>
          <cell r="B33">
            <v>147</v>
          </cell>
          <cell r="C33" t="str">
            <v>أولاد سيدي إبراهيم</v>
          </cell>
          <cell r="D33" t="str">
            <v>O.SIDI BRAHIM</v>
          </cell>
        </row>
        <row r="34">
          <cell r="A34">
            <v>161</v>
          </cell>
          <cell r="B34">
            <v>147</v>
          </cell>
          <cell r="C34" t="str">
            <v>بنزوه</v>
          </cell>
          <cell r="D34" t="str">
            <v>BENZOUH</v>
          </cell>
        </row>
        <row r="35">
          <cell r="A35">
            <v>148</v>
          </cell>
          <cell r="B35">
            <v>148</v>
          </cell>
          <cell r="C35" t="str">
            <v>سيدي عامر</v>
          </cell>
          <cell r="D35" t="str">
            <v>SIDI AMEUR</v>
          </cell>
        </row>
        <row r="36">
          <cell r="A36">
            <v>149</v>
          </cell>
          <cell r="B36">
            <v>148</v>
          </cell>
          <cell r="C36" t="str">
            <v>تامسة</v>
          </cell>
          <cell r="D36" t="str">
            <v>TEMSA</v>
          </cell>
        </row>
        <row r="37">
          <cell r="A37">
            <v>150</v>
          </cell>
          <cell r="B37">
            <v>150</v>
          </cell>
          <cell r="C37" t="str">
            <v>بن سرور</v>
          </cell>
          <cell r="D37" t="str">
            <v>BEN S'ROUR</v>
          </cell>
        </row>
        <row r="38">
          <cell r="A38">
            <v>151</v>
          </cell>
          <cell r="B38">
            <v>150</v>
          </cell>
          <cell r="C38" t="str">
            <v>أولاد سليمان</v>
          </cell>
          <cell r="D38" t="str">
            <v>OULED SLIMENE</v>
          </cell>
        </row>
        <row r="39">
          <cell r="A39">
            <v>159</v>
          </cell>
          <cell r="B39">
            <v>150</v>
          </cell>
          <cell r="C39" t="str">
            <v>الزرزور</v>
          </cell>
          <cell r="D39" t="str">
            <v>ZARZOUR</v>
          </cell>
        </row>
        <row r="40">
          <cell r="A40">
            <v>160</v>
          </cell>
          <cell r="B40">
            <v>150</v>
          </cell>
          <cell r="C40" t="str">
            <v>محمد بوضياف</v>
          </cell>
          <cell r="D40" t="str">
            <v>MOD BOUDIAF</v>
          </cell>
        </row>
        <row r="41">
          <cell r="A41">
            <v>162</v>
          </cell>
          <cell r="B41">
            <v>167</v>
          </cell>
          <cell r="C41" t="str">
            <v>بير فضة</v>
          </cell>
          <cell r="D41" t="str">
            <v>BIR FEDDAH</v>
          </cell>
        </row>
        <row r="42">
          <cell r="A42">
            <v>163</v>
          </cell>
          <cell r="B42">
            <v>167</v>
          </cell>
          <cell r="C42" t="str">
            <v>عين فارس</v>
          </cell>
          <cell r="D42" t="str">
            <v>AIN FARES</v>
          </cell>
        </row>
        <row r="43">
          <cell r="A43">
            <v>164</v>
          </cell>
          <cell r="B43">
            <v>167</v>
          </cell>
          <cell r="C43" t="str">
            <v>سيدي امحمد</v>
          </cell>
          <cell r="D43" t="str">
            <v>SID MHAMED</v>
          </cell>
        </row>
        <row r="44">
          <cell r="A44">
            <v>167</v>
          </cell>
          <cell r="B44">
            <v>167</v>
          </cell>
          <cell r="C44" t="str">
            <v>عين الملح</v>
          </cell>
          <cell r="D44" t="str">
            <v>AIN ELMELEH</v>
          </cell>
        </row>
        <row r="45">
          <cell r="A45">
            <v>170</v>
          </cell>
          <cell r="B45">
            <v>167</v>
          </cell>
          <cell r="C45" t="str">
            <v>عين الريش</v>
          </cell>
          <cell r="D45" t="str">
            <v>AIN RICH</v>
          </cell>
        </row>
        <row r="46">
          <cell r="A46">
            <v>165</v>
          </cell>
          <cell r="B46">
            <v>168</v>
          </cell>
          <cell r="C46" t="str">
            <v>مناعة</v>
          </cell>
          <cell r="D46" t="str">
            <v>MENAA</v>
          </cell>
        </row>
        <row r="47">
          <cell r="A47">
            <v>168</v>
          </cell>
          <cell r="B47">
            <v>168</v>
          </cell>
          <cell r="C47" t="str">
            <v>امجدل</v>
          </cell>
          <cell r="D47" t="str">
            <v>MEDJEDEL</v>
          </cell>
        </row>
        <row r="48">
          <cell r="A48">
            <v>169</v>
          </cell>
          <cell r="B48">
            <v>173</v>
          </cell>
          <cell r="C48" t="str">
            <v>اسليم</v>
          </cell>
          <cell r="D48" t="str">
            <v>SLIM</v>
          </cell>
        </row>
        <row r="49">
          <cell r="A49">
            <v>173</v>
          </cell>
          <cell r="B49">
            <v>173</v>
          </cell>
          <cell r="C49" t="str">
            <v>جبل امساعد</v>
          </cell>
          <cell r="D49" t="str">
            <v>DJEBEL MESSAAD</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SE EN CHARGE"/>
      <sheetName val="BUDGET"/>
      <sheetName val="BUDGET SUPPLEMENTAIRE"/>
      <sheetName val="TRANSFERT"/>
      <sheetName val=" ENGAGEMENT "/>
      <sheetName val="MANDAT"/>
      <sheetName val="SITUATION DETAIL"/>
      <sheetName val="SITUATION GLOBAL"/>
      <sheetName val="الوضغية السنوية"/>
      <sheetName val="TABLEAU"/>
      <sheetName val="COURRIER"/>
      <sheetName val="RECHERECH"/>
      <sheetName val="RECHERECH2"/>
      <sheetName val="Feuil1"/>
      <sheetName val="Feuil2"/>
      <sheetName val="الشرح"/>
      <sheetName val="مثال"/>
      <sheetName val="ورقة1"/>
      <sheetName val="ورقة2"/>
      <sheetName val="مخطط المدفوعات"/>
      <sheetName val="بريد للإمضاء"/>
      <sheetName val="Feuil3"/>
    </sheetNames>
    <sheetDataSet>
      <sheetData sheetId="0" refreshError="1"/>
      <sheetData sheetId="1" refreshError="1"/>
      <sheetData sheetId="2" refreshError="1"/>
      <sheetData sheetId="3" refreshError="1"/>
      <sheetData sheetId="4" refreshError="1"/>
      <sheetData sheetId="5" refreshError="1">
        <row r="5">
          <cell r="A5">
            <v>1</v>
          </cell>
          <cell r="B5" t="str">
            <v>31 ـ 11</v>
          </cell>
          <cell r="C5" t="str">
            <v>2017/01/02</v>
          </cell>
          <cell r="D5" t="str">
            <v>جانفـي</v>
          </cell>
          <cell r="E5" t="str">
            <v>مرتـب شهـر جانفـي 2017 ( صنف المستخدمين مهندسي وتقنيي الأسلاك التقنية )</v>
          </cell>
          <cell r="F5">
            <v>57240</v>
          </cell>
          <cell r="G5">
            <v>0</v>
          </cell>
          <cell r="H5">
            <v>0</v>
          </cell>
          <cell r="I5">
            <v>0</v>
          </cell>
          <cell r="J5">
            <v>0</v>
          </cell>
          <cell r="K5">
            <v>0</v>
          </cell>
          <cell r="L5">
            <v>0</v>
          </cell>
          <cell r="M5">
            <v>0</v>
          </cell>
          <cell r="N5">
            <v>0</v>
          </cell>
          <cell r="O5">
            <v>0</v>
          </cell>
          <cell r="P5">
            <v>0</v>
          </cell>
          <cell r="Q5">
            <v>0</v>
          </cell>
        </row>
        <row r="6">
          <cell r="A6">
            <v>1</v>
          </cell>
          <cell r="B6" t="str">
            <v>31 ـ 12</v>
          </cell>
          <cell r="C6" t="str">
            <v>2017/01/02</v>
          </cell>
          <cell r="D6" t="str">
            <v>جانفـي</v>
          </cell>
          <cell r="E6" t="str">
            <v>مرتـب شهـر جانفـي 2017 ( صنف المستخدمين مهندسي وتقنيي الأسلاك التقنية )</v>
          </cell>
          <cell r="F6">
            <v>37344</v>
          </cell>
          <cell r="G6">
            <v>0</v>
          </cell>
          <cell r="H6">
            <v>0</v>
          </cell>
          <cell r="I6">
            <v>0</v>
          </cell>
          <cell r="J6">
            <v>0</v>
          </cell>
          <cell r="K6">
            <v>0</v>
          </cell>
          <cell r="L6">
            <v>0</v>
          </cell>
          <cell r="M6">
            <v>0</v>
          </cell>
          <cell r="N6">
            <v>0</v>
          </cell>
          <cell r="O6">
            <v>0</v>
          </cell>
          <cell r="P6">
            <v>0</v>
          </cell>
          <cell r="Q6">
            <v>0</v>
          </cell>
        </row>
        <row r="7">
          <cell r="A7">
            <v>1</v>
          </cell>
          <cell r="B7" t="str">
            <v>33 ـ 11</v>
          </cell>
          <cell r="C7" t="str">
            <v>2017/01/02</v>
          </cell>
          <cell r="D7" t="str">
            <v>جانفـي</v>
          </cell>
          <cell r="E7" t="str">
            <v>مرتـب شهـر جانفـي 2017 ( صنف المستخدمين مهندسي وتقنيي الأسلاك التقنية )</v>
          </cell>
          <cell r="F7">
            <v>1500</v>
          </cell>
          <cell r="G7">
            <v>0</v>
          </cell>
          <cell r="H7">
            <v>0</v>
          </cell>
          <cell r="I7">
            <v>0</v>
          </cell>
          <cell r="J7">
            <v>0</v>
          </cell>
          <cell r="K7">
            <v>0</v>
          </cell>
          <cell r="L7">
            <v>0</v>
          </cell>
          <cell r="M7">
            <v>0</v>
          </cell>
          <cell r="N7">
            <v>0</v>
          </cell>
          <cell r="O7">
            <v>0</v>
          </cell>
          <cell r="P7">
            <v>0</v>
          </cell>
          <cell r="Q7">
            <v>0</v>
          </cell>
        </row>
        <row r="8">
          <cell r="A8">
            <v>2</v>
          </cell>
          <cell r="B8" t="str">
            <v>31 ـ 11</v>
          </cell>
          <cell r="C8" t="str">
            <v>2017/01/02</v>
          </cell>
          <cell r="D8" t="str">
            <v>جانفـي</v>
          </cell>
          <cell r="E8" t="str">
            <v>مرتـب شهـر جانفـي 2017 ( صنف المستخدمين مهندسي وتقنيي الأسلاك التقنية )</v>
          </cell>
          <cell r="F8">
            <v>2317050</v>
          </cell>
          <cell r="G8">
            <v>0</v>
          </cell>
          <cell r="H8">
            <v>0</v>
          </cell>
          <cell r="I8">
            <v>0</v>
          </cell>
          <cell r="J8">
            <v>0</v>
          </cell>
          <cell r="K8">
            <v>0</v>
          </cell>
          <cell r="L8">
            <v>0</v>
          </cell>
          <cell r="M8">
            <v>0</v>
          </cell>
          <cell r="N8">
            <v>0</v>
          </cell>
          <cell r="O8">
            <v>0</v>
          </cell>
          <cell r="P8">
            <v>0</v>
          </cell>
          <cell r="Q8">
            <v>0</v>
          </cell>
        </row>
        <row r="9">
          <cell r="A9">
            <v>2</v>
          </cell>
          <cell r="B9" t="str">
            <v>31 ـ 12</v>
          </cell>
          <cell r="C9" t="str">
            <v>2017/01/02</v>
          </cell>
          <cell r="D9" t="str">
            <v>جانفـي</v>
          </cell>
          <cell r="E9" t="str">
            <v>مرتـب شهـر جانفـي 2017 ( صنف المستخدمين مهندسي وتقنيي الأسلاك التقنية )</v>
          </cell>
          <cell r="F9">
            <v>1538699.12</v>
          </cell>
          <cell r="G9">
            <v>0</v>
          </cell>
          <cell r="H9">
            <v>0</v>
          </cell>
          <cell r="I9">
            <v>0</v>
          </cell>
          <cell r="J9">
            <v>0</v>
          </cell>
          <cell r="K9">
            <v>0</v>
          </cell>
          <cell r="L9">
            <v>0</v>
          </cell>
          <cell r="M9">
            <v>0</v>
          </cell>
          <cell r="N9">
            <v>0</v>
          </cell>
          <cell r="O9">
            <v>0</v>
          </cell>
          <cell r="P9">
            <v>0</v>
          </cell>
          <cell r="Q9">
            <v>0</v>
          </cell>
        </row>
        <row r="10">
          <cell r="A10">
            <v>2</v>
          </cell>
          <cell r="B10" t="str">
            <v>33 ـ 11</v>
          </cell>
          <cell r="C10" t="str">
            <v>2017/01/02</v>
          </cell>
          <cell r="D10" t="str">
            <v>جانفـي</v>
          </cell>
          <cell r="E10" t="str">
            <v>مرتـب شهـر جانفـي 2017 ( صنف المستخدمين مهندسي وتقنيي الأسلاك التقنية )</v>
          </cell>
          <cell r="F10">
            <v>63135</v>
          </cell>
          <cell r="G10">
            <v>0</v>
          </cell>
          <cell r="H10">
            <v>0</v>
          </cell>
          <cell r="I10">
            <v>0</v>
          </cell>
          <cell r="J10">
            <v>0</v>
          </cell>
          <cell r="K10">
            <v>0</v>
          </cell>
          <cell r="L10">
            <v>0</v>
          </cell>
          <cell r="M10">
            <v>0</v>
          </cell>
          <cell r="N10">
            <v>0</v>
          </cell>
          <cell r="O10">
            <v>0</v>
          </cell>
          <cell r="P10">
            <v>0</v>
          </cell>
          <cell r="Q10">
            <v>0</v>
          </cell>
        </row>
        <row r="11">
          <cell r="A11">
            <v>3</v>
          </cell>
          <cell r="B11" t="str">
            <v>31 ـ 11</v>
          </cell>
          <cell r="C11" t="str">
            <v>2017/01/02</v>
          </cell>
          <cell r="D11" t="str">
            <v>جانفـي</v>
          </cell>
          <cell r="E11" t="str">
            <v>مرتـب شهـر جانفـي 2017 ( صنف المستخدمين مهندسي الأسلاك المشتركة التقنية )</v>
          </cell>
          <cell r="F11">
            <v>173025</v>
          </cell>
          <cell r="G11">
            <v>0</v>
          </cell>
          <cell r="H11">
            <v>0</v>
          </cell>
          <cell r="I11">
            <v>0</v>
          </cell>
          <cell r="J11">
            <v>0</v>
          </cell>
          <cell r="K11">
            <v>0</v>
          </cell>
          <cell r="L11">
            <v>0</v>
          </cell>
          <cell r="M11">
            <v>0</v>
          </cell>
          <cell r="N11">
            <v>0</v>
          </cell>
          <cell r="O11">
            <v>0</v>
          </cell>
          <cell r="P11">
            <v>0</v>
          </cell>
          <cell r="Q11">
            <v>0</v>
          </cell>
        </row>
        <row r="12">
          <cell r="A12">
            <v>3</v>
          </cell>
          <cell r="B12" t="str">
            <v>31 ـ 12</v>
          </cell>
          <cell r="C12" t="str">
            <v>2017/01/02</v>
          </cell>
          <cell r="D12" t="str">
            <v>جانفـي</v>
          </cell>
          <cell r="E12" t="str">
            <v>مرتـب شهـر جانفـي 2017 ( صنف المستخدمين مهندسي الأسلاك المشتركة التقنية )</v>
          </cell>
          <cell r="F12">
            <v>108440.6</v>
          </cell>
          <cell r="G12">
            <v>0</v>
          </cell>
          <cell r="H12">
            <v>0</v>
          </cell>
          <cell r="I12">
            <v>0</v>
          </cell>
          <cell r="J12">
            <v>0</v>
          </cell>
          <cell r="K12">
            <v>0</v>
          </cell>
          <cell r="L12">
            <v>0</v>
          </cell>
          <cell r="M12">
            <v>0</v>
          </cell>
          <cell r="N12">
            <v>0</v>
          </cell>
          <cell r="O12">
            <v>0</v>
          </cell>
          <cell r="P12">
            <v>0</v>
          </cell>
          <cell r="Q12">
            <v>0</v>
          </cell>
        </row>
        <row r="13">
          <cell r="A13">
            <v>3</v>
          </cell>
          <cell r="B13" t="str">
            <v>33 ـ 11</v>
          </cell>
          <cell r="C13" t="str">
            <v>2017/01/02</v>
          </cell>
          <cell r="D13" t="str">
            <v>جانفـي</v>
          </cell>
          <cell r="E13" t="str">
            <v>مرتـب شهـر جانفـي 2017 ( صنف المستخدمين مهندسي الأسلاك المشتركة التقنية )</v>
          </cell>
          <cell r="F13">
            <v>5100</v>
          </cell>
          <cell r="G13">
            <v>0</v>
          </cell>
          <cell r="H13">
            <v>0</v>
          </cell>
          <cell r="I13">
            <v>0</v>
          </cell>
          <cell r="J13">
            <v>0</v>
          </cell>
          <cell r="K13">
            <v>0</v>
          </cell>
          <cell r="L13">
            <v>0</v>
          </cell>
          <cell r="M13">
            <v>0</v>
          </cell>
          <cell r="N13">
            <v>0</v>
          </cell>
          <cell r="O13">
            <v>0</v>
          </cell>
          <cell r="P13">
            <v>0</v>
          </cell>
          <cell r="Q13">
            <v>0</v>
          </cell>
        </row>
        <row r="14">
          <cell r="A14">
            <v>4</v>
          </cell>
          <cell r="B14" t="str">
            <v>31 ـ 11</v>
          </cell>
          <cell r="C14" t="str">
            <v>2017/01/02</v>
          </cell>
          <cell r="D14" t="str">
            <v>جانفـي</v>
          </cell>
          <cell r="E14" t="str">
            <v>مرتـب شهـر جانفـي 2017 ( صنف المستخدمين مهندسي الأسلاك المشتركة التقنية )</v>
          </cell>
          <cell r="F14">
            <v>451395</v>
          </cell>
          <cell r="G14">
            <v>0</v>
          </cell>
          <cell r="H14">
            <v>0</v>
          </cell>
          <cell r="I14">
            <v>0</v>
          </cell>
          <cell r="J14">
            <v>0</v>
          </cell>
          <cell r="K14">
            <v>0</v>
          </cell>
          <cell r="L14">
            <v>0</v>
          </cell>
          <cell r="M14">
            <v>0</v>
          </cell>
          <cell r="N14">
            <v>0</v>
          </cell>
          <cell r="O14">
            <v>0</v>
          </cell>
          <cell r="P14">
            <v>0</v>
          </cell>
          <cell r="Q14">
            <v>0</v>
          </cell>
        </row>
        <row r="15">
          <cell r="A15">
            <v>4</v>
          </cell>
          <cell r="B15" t="str">
            <v>31 ـ 12</v>
          </cell>
          <cell r="C15" t="str">
            <v>2017/01/02</v>
          </cell>
          <cell r="D15" t="str">
            <v>جانفـي</v>
          </cell>
          <cell r="E15" t="str">
            <v>مرتـب شهـر جانفـي 2017 ( صنف المستخدمين مهندسي الأسلاك المشتركة التقنية )</v>
          </cell>
          <cell r="F15">
            <v>283764.65999999997</v>
          </cell>
          <cell r="G15">
            <v>0</v>
          </cell>
          <cell r="H15">
            <v>0</v>
          </cell>
          <cell r="I15">
            <v>0</v>
          </cell>
          <cell r="J15">
            <v>0</v>
          </cell>
          <cell r="K15">
            <v>0</v>
          </cell>
          <cell r="L15">
            <v>0</v>
          </cell>
          <cell r="M15">
            <v>0</v>
          </cell>
          <cell r="N15">
            <v>0</v>
          </cell>
          <cell r="O15">
            <v>0</v>
          </cell>
          <cell r="P15">
            <v>0</v>
          </cell>
          <cell r="Q15">
            <v>0</v>
          </cell>
        </row>
        <row r="16">
          <cell r="A16">
            <v>4</v>
          </cell>
          <cell r="B16" t="str">
            <v>33 ـ 11</v>
          </cell>
          <cell r="C16" t="str">
            <v>2017/01/02</v>
          </cell>
          <cell r="D16" t="str">
            <v>جانفـي</v>
          </cell>
          <cell r="E16" t="str">
            <v>مرتـب شهـر جانفـي 2017 ( صنف المستخدمين مهندسي الأسلاك المشتركة التقنية )</v>
          </cell>
          <cell r="F16">
            <v>16111.25</v>
          </cell>
          <cell r="G16">
            <v>0</v>
          </cell>
          <cell r="H16">
            <v>0</v>
          </cell>
          <cell r="I16">
            <v>0</v>
          </cell>
          <cell r="J16">
            <v>0</v>
          </cell>
          <cell r="K16">
            <v>0</v>
          </cell>
          <cell r="L16">
            <v>0</v>
          </cell>
          <cell r="M16">
            <v>0</v>
          </cell>
          <cell r="N16">
            <v>0</v>
          </cell>
          <cell r="O16">
            <v>0</v>
          </cell>
          <cell r="P16">
            <v>0</v>
          </cell>
          <cell r="Q16">
            <v>0</v>
          </cell>
        </row>
        <row r="17">
          <cell r="A17">
            <v>5</v>
          </cell>
          <cell r="B17" t="str">
            <v>31 ـ 11</v>
          </cell>
          <cell r="C17" t="str">
            <v>2017/01/02</v>
          </cell>
          <cell r="D17" t="str">
            <v>جانفـي</v>
          </cell>
          <cell r="E17" t="str">
            <v>مرتـب شهـر جانفـي 2017 ( صنف المستخدمين مهندسي وتقنيي الأسلاك المشتركة )</v>
          </cell>
          <cell r="F17">
            <v>63765</v>
          </cell>
          <cell r="G17">
            <v>0</v>
          </cell>
          <cell r="H17">
            <v>0</v>
          </cell>
          <cell r="I17">
            <v>0</v>
          </cell>
          <cell r="J17">
            <v>0</v>
          </cell>
          <cell r="K17">
            <v>0</v>
          </cell>
          <cell r="L17">
            <v>0</v>
          </cell>
          <cell r="M17">
            <v>0</v>
          </cell>
          <cell r="N17">
            <v>0</v>
          </cell>
          <cell r="O17">
            <v>0</v>
          </cell>
          <cell r="P17">
            <v>0</v>
          </cell>
          <cell r="Q17">
            <v>0</v>
          </cell>
        </row>
        <row r="18">
          <cell r="A18">
            <v>5</v>
          </cell>
          <cell r="B18" t="str">
            <v>31 ـ 12</v>
          </cell>
          <cell r="C18" t="str">
            <v>2017/01/02</v>
          </cell>
          <cell r="D18" t="str">
            <v>جانفـي</v>
          </cell>
          <cell r="E18" t="str">
            <v>مرتـب شهـر جانفـي 2017 ( صنف المستخدمين مهندسي وتقنيي الأسلاك المشتركة )</v>
          </cell>
          <cell r="F18">
            <v>31620</v>
          </cell>
          <cell r="G18">
            <v>0</v>
          </cell>
          <cell r="H18">
            <v>0</v>
          </cell>
          <cell r="I18">
            <v>0</v>
          </cell>
          <cell r="J18">
            <v>0</v>
          </cell>
          <cell r="K18">
            <v>0</v>
          </cell>
          <cell r="L18">
            <v>0</v>
          </cell>
          <cell r="M18">
            <v>0</v>
          </cell>
          <cell r="N18">
            <v>0</v>
          </cell>
          <cell r="O18">
            <v>0</v>
          </cell>
          <cell r="P18">
            <v>0</v>
          </cell>
          <cell r="Q18">
            <v>0</v>
          </cell>
        </row>
        <row r="19">
          <cell r="A19">
            <v>5</v>
          </cell>
          <cell r="B19" t="str">
            <v>33 ـ 11</v>
          </cell>
          <cell r="C19" t="str">
            <v>2017/01/02</v>
          </cell>
          <cell r="D19" t="str">
            <v>جانفـي</v>
          </cell>
          <cell r="E19" t="str">
            <v>مرتـب شهـر جانفـي 2017 ( صنف المستخدمين مهندسي وتقنيي الأسلاك المشتركة )</v>
          </cell>
          <cell r="F19">
            <v>2000</v>
          </cell>
          <cell r="G19">
            <v>0</v>
          </cell>
          <cell r="H19">
            <v>0</v>
          </cell>
          <cell r="I19">
            <v>0</v>
          </cell>
          <cell r="J19">
            <v>0</v>
          </cell>
          <cell r="K19">
            <v>0</v>
          </cell>
          <cell r="L19">
            <v>0</v>
          </cell>
          <cell r="M19">
            <v>0</v>
          </cell>
          <cell r="N19">
            <v>0</v>
          </cell>
          <cell r="O19">
            <v>0</v>
          </cell>
          <cell r="P19">
            <v>0</v>
          </cell>
          <cell r="Q19">
            <v>0</v>
          </cell>
        </row>
        <row r="20">
          <cell r="A20">
            <v>6</v>
          </cell>
          <cell r="B20" t="str">
            <v>31 ـ 11</v>
          </cell>
          <cell r="C20" t="str">
            <v>2017/01/02</v>
          </cell>
          <cell r="D20" t="str">
            <v>جانفـي</v>
          </cell>
          <cell r="E20" t="str">
            <v>مرتـب شهـر جانفـي 2017 ( صنف المستخدمين مهندسي وتقنيي الأسلاك المشتركة )</v>
          </cell>
          <cell r="F20">
            <v>1659825</v>
          </cell>
          <cell r="G20">
            <v>0</v>
          </cell>
          <cell r="H20">
            <v>0</v>
          </cell>
          <cell r="I20">
            <v>0</v>
          </cell>
          <cell r="J20">
            <v>0</v>
          </cell>
          <cell r="K20">
            <v>0</v>
          </cell>
          <cell r="L20">
            <v>0</v>
          </cell>
          <cell r="M20">
            <v>0</v>
          </cell>
          <cell r="N20">
            <v>0</v>
          </cell>
          <cell r="O20">
            <v>0</v>
          </cell>
          <cell r="P20">
            <v>0</v>
          </cell>
          <cell r="Q20">
            <v>0</v>
          </cell>
        </row>
        <row r="21">
          <cell r="A21">
            <v>6</v>
          </cell>
          <cell r="B21" t="str">
            <v>31 ـ 12</v>
          </cell>
          <cell r="C21" t="str">
            <v>2017/01/02</v>
          </cell>
          <cell r="D21" t="str">
            <v>جانفـي</v>
          </cell>
          <cell r="E21" t="str">
            <v>مرتـب شهـر جانفـي 2017 ( صنف المستخدمين مهندسي وتقنيي الأسلاك المشتركة )</v>
          </cell>
          <cell r="F21">
            <v>941377.75</v>
          </cell>
          <cell r="G21">
            <v>0</v>
          </cell>
          <cell r="H21">
            <v>0</v>
          </cell>
          <cell r="I21">
            <v>0</v>
          </cell>
          <cell r="J21">
            <v>0</v>
          </cell>
          <cell r="K21">
            <v>0</v>
          </cell>
          <cell r="L21">
            <v>0</v>
          </cell>
          <cell r="M21">
            <v>0</v>
          </cell>
          <cell r="N21">
            <v>0</v>
          </cell>
          <cell r="O21">
            <v>0</v>
          </cell>
          <cell r="P21">
            <v>0</v>
          </cell>
          <cell r="Q21">
            <v>0</v>
          </cell>
        </row>
        <row r="22">
          <cell r="A22">
            <v>6</v>
          </cell>
          <cell r="B22" t="str">
            <v>33 ـ 11</v>
          </cell>
          <cell r="C22" t="str">
            <v>2017/01/02</v>
          </cell>
          <cell r="D22" t="str">
            <v>جانفـي</v>
          </cell>
          <cell r="E22" t="str">
            <v>مرتـب شهـر جانفـي 2017 ( صنف المستخدمين مهندسي وتقنيي الأسلاك المشتركة )</v>
          </cell>
          <cell r="F22">
            <v>24700</v>
          </cell>
          <cell r="G22">
            <v>0</v>
          </cell>
          <cell r="H22">
            <v>0</v>
          </cell>
          <cell r="I22">
            <v>0</v>
          </cell>
          <cell r="J22">
            <v>0</v>
          </cell>
          <cell r="K22">
            <v>0</v>
          </cell>
          <cell r="L22">
            <v>0</v>
          </cell>
          <cell r="M22">
            <v>0</v>
          </cell>
          <cell r="N22">
            <v>0</v>
          </cell>
          <cell r="O22">
            <v>0</v>
          </cell>
          <cell r="P22">
            <v>0</v>
          </cell>
          <cell r="Q22">
            <v>0</v>
          </cell>
        </row>
        <row r="23">
          <cell r="A23">
            <v>7</v>
          </cell>
          <cell r="B23" t="str">
            <v>33 ـ 13</v>
          </cell>
          <cell r="C23" t="str">
            <v>2017/01/02</v>
          </cell>
          <cell r="D23" t="str">
            <v>جانفـي</v>
          </cell>
          <cell r="E23">
            <v>0</v>
          </cell>
          <cell r="F23">
            <v>1915886.54</v>
          </cell>
          <cell r="G23">
            <v>0</v>
          </cell>
          <cell r="H23">
            <v>0</v>
          </cell>
          <cell r="I23">
            <v>0</v>
          </cell>
          <cell r="J23">
            <v>0</v>
          </cell>
          <cell r="K23">
            <v>0</v>
          </cell>
          <cell r="L23">
            <v>0</v>
          </cell>
          <cell r="M23">
            <v>0</v>
          </cell>
          <cell r="N23">
            <v>0</v>
          </cell>
          <cell r="O23">
            <v>0</v>
          </cell>
          <cell r="P23">
            <v>0</v>
          </cell>
          <cell r="Q23">
            <v>0</v>
          </cell>
        </row>
        <row r="24">
          <cell r="A24">
            <v>8</v>
          </cell>
          <cell r="B24" t="str">
            <v>31 ـ 11</v>
          </cell>
          <cell r="C24" t="str">
            <v>2017/01/02</v>
          </cell>
          <cell r="D24" t="str">
            <v>جانفـي</v>
          </cell>
          <cell r="E24" t="str">
            <v>مرتـب شهـر جانفـي 2017 ( صنف المستخدمين مهندسي وتقنيي الأسلاك المشتركة )</v>
          </cell>
          <cell r="F24">
            <v>14310</v>
          </cell>
          <cell r="G24">
            <v>0</v>
          </cell>
          <cell r="H24">
            <v>0</v>
          </cell>
          <cell r="I24">
            <v>0</v>
          </cell>
          <cell r="J24">
            <v>0</v>
          </cell>
          <cell r="K24">
            <v>0</v>
          </cell>
          <cell r="L24">
            <v>0</v>
          </cell>
          <cell r="M24">
            <v>0</v>
          </cell>
          <cell r="N24">
            <v>0</v>
          </cell>
          <cell r="O24">
            <v>0</v>
          </cell>
          <cell r="P24">
            <v>0</v>
          </cell>
          <cell r="Q24">
            <v>0</v>
          </cell>
        </row>
        <row r="25">
          <cell r="A25">
            <v>8</v>
          </cell>
          <cell r="B25" t="str">
            <v>31 ـ 12</v>
          </cell>
          <cell r="C25" t="str">
            <v>2017/01/02</v>
          </cell>
          <cell r="D25" t="str">
            <v>جانفـي</v>
          </cell>
          <cell r="E25" t="str">
            <v>مرتـب شهـر جانفـي 2017 ( صنف المستخدمين مهندسي وتقنيي الأسلاك المشتركة )</v>
          </cell>
          <cell r="F25">
            <v>7905</v>
          </cell>
          <cell r="G25">
            <v>0</v>
          </cell>
          <cell r="H25">
            <v>0</v>
          </cell>
          <cell r="I25">
            <v>0</v>
          </cell>
          <cell r="J25">
            <v>0</v>
          </cell>
          <cell r="K25">
            <v>0</v>
          </cell>
          <cell r="L25">
            <v>0</v>
          </cell>
          <cell r="M25">
            <v>0</v>
          </cell>
          <cell r="N25">
            <v>0</v>
          </cell>
          <cell r="O25">
            <v>0</v>
          </cell>
          <cell r="P25">
            <v>0</v>
          </cell>
          <cell r="Q25">
            <v>0</v>
          </cell>
        </row>
        <row r="26">
          <cell r="A26">
            <v>9</v>
          </cell>
          <cell r="B26" t="str">
            <v>33 ـ 13</v>
          </cell>
          <cell r="C26" t="str">
            <v>2017/01/02</v>
          </cell>
          <cell r="D26" t="str">
            <v>جانفـي</v>
          </cell>
          <cell r="E26">
            <v>0</v>
          </cell>
          <cell r="F26">
            <v>527883.93999999994</v>
          </cell>
          <cell r="G26">
            <v>0</v>
          </cell>
          <cell r="H26">
            <v>0</v>
          </cell>
          <cell r="I26">
            <v>0</v>
          </cell>
          <cell r="J26">
            <v>0</v>
          </cell>
          <cell r="K26">
            <v>0</v>
          </cell>
          <cell r="L26">
            <v>0</v>
          </cell>
          <cell r="M26">
            <v>0</v>
          </cell>
          <cell r="N26">
            <v>0</v>
          </cell>
          <cell r="O26">
            <v>0</v>
          </cell>
          <cell r="P26">
            <v>0</v>
          </cell>
          <cell r="Q26">
            <v>0</v>
          </cell>
        </row>
        <row r="27">
          <cell r="A27">
            <v>10</v>
          </cell>
          <cell r="B27" t="str">
            <v>31 ـ 11</v>
          </cell>
          <cell r="C27" t="str">
            <v>2017/01/02</v>
          </cell>
          <cell r="D27" t="str">
            <v>جانفـي</v>
          </cell>
          <cell r="E27" t="str">
            <v>مرتـب شهـر جانفـي 2017 ( صنف المستخدمين المندوبين المكلفين بمهمة الأمن )</v>
          </cell>
          <cell r="F27">
            <v>179015.94</v>
          </cell>
          <cell r="G27">
            <v>0</v>
          </cell>
          <cell r="H27">
            <v>0</v>
          </cell>
          <cell r="I27">
            <v>0</v>
          </cell>
          <cell r="J27">
            <v>0</v>
          </cell>
          <cell r="K27">
            <v>0</v>
          </cell>
          <cell r="L27">
            <v>0</v>
          </cell>
          <cell r="M27">
            <v>0</v>
          </cell>
          <cell r="N27">
            <v>0</v>
          </cell>
          <cell r="O27">
            <v>0</v>
          </cell>
          <cell r="P27">
            <v>0</v>
          </cell>
          <cell r="Q27">
            <v>0</v>
          </cell>
        </row>
        <row r="28">
          <cell r="A28">
            <v>10</v>
          </cell>
          <cell r="B28" t="str">
            <v>31 ـ 12</v>
          </cell>
          <cell r="C28" t="str">
            <v>2017/01/02</v>
          </cell>
          <cell r="D28" t="str">
            <v>جانفـي</v>
          </cell>
          <cell r="E28" t="str">
            <v>مرتـب شهـر جانفـي 2017 ( صنف المستخدمين المندوبين المكلفين بمهمة الأمن )</v>
          </cell>
          <cell r="F28">
            <v>95997.92</v>
          </cell>
          <cell r="G28">
            <v>0</v>
          </cell>
          <cell r="H28">
            <v>0</v>
          </cell>
          <cell r="I28">
            <v>0</v>
          </cell>
          <cell r="J28">
            <v>0</v>
          </cell>
          <cell r="K28">
            <v>0</v>
          </cell>
          <cell r="L28">
            <v>0</v>
          </cell>
          <cell r="M28">
            <v>0</v>
          </cell>
          <cell r="N28">
            <v>0</v>
          </cell>
          <cell r="O28">
            <v>0</v>
          </cell>
          <cell r="P28">
            <v>0</v>
          </cell>
          <cell r="Q28">
            <v>0</v>
          </cell>
        </row>
        <row r="29">
          <cell r="A29">
            <v>10</v>
          </cell>
          <cell r="B29" t="str">
            <v>33 ـ 11</v>
          </cell>
          <cell r="C29" t="str">
            <v>2017/01/02</v>
          </cell>
          <cell r="D29" t="str">
            <v>جانفـي</v>
          </cell>
          <cell r="E29" t="str">
            <v>مرتـب شهـر جانفـي 2017 ( صنف المستخدمين المندوبين المكلفين بمهمة الأمن )</v>
          </cell>
          <cell r="F29">
            <v>8100</v>
          </cell>
          <cell r="G29">
            <v>0</v>
          </cell>
          <cell r="H29">
            <v>0</v>
          </cell>
          <cell r="I29">
            <v>0</v>
          </cell>
          <cell r="J29">
            <v>0</v>
          </cell>
          <cell r="K29">
            <v>0</v>
          </cell>
          <cell r="L29">
            <v>0</v>
          </cell>
          <cell r="M29">
            <v>0</v>
          </cell>
          <cell r="N29">
            <v>0</v>
          </cell>
          <cell r="O29">
            <v>0</v>
          </cell>
          <cell r="P29">
            <v>0</v>
          </cell>
          <cell r="Q29">
            <v>0</v>
          </cell>
        </row>
        <row r="30">
          <cell r="A30">
            <v>11</v>
          </cell>
          <cell r="B30" t="str">
            <v>33 ـ 13</v>
          </cell>
          <cell r="C30" t="str">
            <v>2017/01/02</v>
          </cell>
          <cell r="D30" t="str">
            <v>جانفـي</v>
          </cell>
          <cell r="E30" t="str">
            <v>مرتـب شهـر جانفـي 2017 ( صنف المستخدمين المندوبين المكلفين بمهمة الأمن )</v>
          </cell>
          <cell r="F30">
            <v>68753.460000000006</v>
          </cell>
          <cell r="G30">
            <v>0</v>
          </cell>
          <cell r="H30">
            <v>0</v>
          </cell>
          <cell r="I30">
            <v>0</v>
          </cell>
          <cell r="J30">
            <v>0</v>
          </cell>
          <cell r="K30">
            <v>0</v>
          </cell>
          <cell r="L30">
            <v>0</v>
          </cell>
          <cell r="M30">
            <v>0</v>
          </cell>
          <cell r="N30">
            <v>0</v>
          </cell>
          <cell r="O30">
            <v>0</v>
          </cell>
          <cell r="P30">
            <v>0</v>
          </cell>
          <cell r="Q30">
            <v>0</v>
          </cell>
        </row>
        <row r="31">
          <cell r="A31">
            <v>12</v>
          </cell>
          <cell r="B31" t="str">
            <v>31 ـ 13</v>
          </cell>
          <cell r="C31" t="str">
            <v>2017/01/02</v>
          </cell>
          <cell r="D31" t="str">
            <v>جانفـي</v>
          </cell>
          <cell r="E31" t="str">
            <v>مرتـب شهـر جانفـي 2017 ( صنف المستخدمين أعوان الوقاية ومتعاقدين توقيت كلي و جزئي )</v>
          </cell>
          <cell r="F31">
            <v>115354.24000000001</v>
          </cell>
          <cell r="G31">
            <v>0</v>
          </cell>
          <cell r="H31">
            <v>0</v>
          </cell>
          <cell r="I31">
            <v>0</v>
          </cell>
          <cell r="J31">
            <v>0</v>
          </cell>
          <cell r="K31">
            <v>0</v>
          </cell>
          <cell r="L31">
            <v>0</v>
          </cell>
          <cell r="M31">
            <v>0</v>
          </cell>
          <cell r="N31">
            <v>0</v>
          </cell>
          <cell r="O31">
            <v>0</v>
          </cell>
          <cell r="P31">
            <v>0</v>
          </cell>
          <cell r="Q31">
            <v>0</v>
          </cell>
        </row>
        <row r="32">
          <cell r="A32">
            <v>12</v>
          </cell>
          <cell r="B32" t="str">
            <v>31 ـ 13</v>
          </cell>
          <cell r="C32" t="str">
            <v>2017/01/02</v>
          </cell>
          <cell r="D32" t="str">
            <v>جانفـي</v>
          </cell>
          <cell r="E32" t="str">
            <v>مرتـب شهـر جانفـي 2017 ( صنف المستخدمين أعوان الوقاية ومتعاقدين توقيت كلي و جزئي )</v>
          </cell>
          <cell r="F32">
            <v>79368.89</v>
          </cell>
          <cell r="G32">
            <v>0</v>
          </cell>
          <cell r="H32">
            <v>0</v>
          </cell>
          <cell r="I32">
            <v>0</v>
          </cell>
          <cell r="J32">
            <v>0</v>
          </cell>
          <cell r="K32">
            <v>0</v>
          </cell>
          <cell r="L32">
            <v>0</v>
          </cell>
          <cell r="M32">
            <v>0</v>
          </cell>
          <cell r="N32">
            <v>0</v>
          </cell>
          <cell r="O32">
            <v>0</v>
          </cell>
          <cell r="P32">
            <v>0</v>
          </cell>
          <cell r="Q32">
            <v>0</v>
          </cell>
        </row>
        <row r="33">
          <cell r="A33">
            <v>12</v>
          </cell>
          <cell r="B33" t="str">
            <v>31 ـ 13</v>
          </cell>
          <cell r="C33" t="str">
            <v>2017/01/02</v>
          </cell>
          <cell r="D33" t="str">
            <v>جانفـي</v>
          </cell>
          <cell r="E33" t="str">
            <v>مرتـب شهـر جانفـي 2017 ( صنف المستخدمين أعوان الوقاية ومتعاقدين توقيت كلي و جزئي )</v>
          </cell>
          <cell r="F33">
            <v>11111.25</v>
          </cell>
          <cell r="G33">
            <v>0</v>
          </cell>
          <cell r="H33">
            <v>0</v>
          </cell>
          <cell r="I33">
            <v>0</v>
          </cell>
          <cell r="J33">
            <v>0</v>
          </cell>
          <cell r="K33">
            <v>0</v>
          </cell>
          <cell r="L33">
            <v>0</v>
          </cell>
          <cell r="M33">
            <v>0</v>
          </cell>
          <cell r="N33">
            <v>0</v>
          </cell>
          <cell r="O33">
            <v>0</v>
          </cell>
          <cell r="P33">
            <v>0</v>
          </cell>
          <cell r="Q33">
            <v>0</v>
          </cell>
        </row>
        <row r="34">
          <cell r="A34">
            <v>13</v>
          </cell>
          <cell r="B34" t="str">
            <v>31 ـ 13</v>
          </cell>
          <cell r="C34" t="str">
            <v>2017/01/02</v>
          </cell>
          <cell r="D34" t="str">
            <v>جانفـي</v>
          </cell>
          <cell r="E34" t="str">
            <v>مرتـب شهـر جانفـي 2017 ( صنف المستخدمين أعوان الوقاية ومتعاقدين توقيت كلي و جزئي )</v>
          </cell>
          <cell r="F34">
            <v>154653.69</v>
          </cell>
          <cell r="G34">
            <v>0</v>
          </cell>
          <cell r="H34">
            <v>0</v>
          </cell>
          <cell r="I34">
            <v>0</v>
          </cell>
          <cell r="J34">
            <v>0</v>
          </cell>
          <cell r="K34">
            <v>0</v>
          </cell>
          <cell r="L34">
            <v>0</v>
          </cell>
          <cell r="M34">
            <v>0</v>
          </cell>
          <cell r="N34">
            <v>0</v>
          </cell>
          <cell r="O34">
            <v>0</v>
          </cell>
          <cell r="P34">
            <v>0</v>
          </cell>
          <cell r="Q34">
            <v>0</v>
          </cell>
        </row>
        <row r="35">
          <cell r="A35">
            <v>13</v>
          </cell>
          <cell r="B35" t="str">
            <v>31 ـ 13</v>
          </cell>
          <cell r="C35" t="str">
            <v>2017/01/02</v>
          </cell>
          <cell r="D35" t="str">
            <v>جانفـي</v>
          </cell>
          <cell r="E35" t="str">
            <v>مرتـب شهـر جانفـي 2017 ( صنف المستخدمين أعوان الوقاية ومتعاقدين توقيت كلي و جزئي )</v>
          </cell>
          <cell r="F35">
            <v>111491.41</v>
          </cell>
          <cell r="G35">
            <v>0</v>
          </cell>
          <cell r="H35">
            <v>0</v>
          </cell>
          <cell r="I35">
            <v>0</v>
          </cell>
          <cell r="J35">
            <v>0</v>
          </cell>
          <cell r="K35">
            <v>0</v>
          </cell>
          <cell r="L35">
            <v>0</v>
          </cell>
          <cell r="M35">
            <v>0</v>
          </cell>
          <cell r="N35">
            <v>0</v>
          </cell>
          <cell r="O35">
            <v>0</v>
          </cell>
          <cell r="P35">
            <v>0</v>
          </cell>
          <cell r="Q35">
            <v>0</v>
          </cell>
        </row>
        <row r="36">
          <cell r="A36">
            <v>13</v>
          </cell>
          <cell r="B36" t="str">
            <v>31 ـ 13</v>
          </cell>
          <cell r="C36" t="str">
            <v>2017/01/02</v>
          </cell>
          <cell r="D36" t="str">
            <v>جانفـي</v>
          </cell>
          <cell r="E36" t="str">
            <v>مرتـب شهـر جانفـي 2017 ( صنف المستخدمين أعوان الوقاية ومتعاقدين توقيت كلي و جزئي )</v>
          </cell>
          <cell r="F36">
            <v>14500</v>
          </cell>
          <cell r="G36">
            <v>280645.09999999998</v>
          </cell>
          <cell r="H36">
            <v>0</v>
          </cell>
          <cell r="I36">
            <v>0</v>
          </cell>
          <cell r="J36">
            <v>0</v>
          </cell>
          <cell r="K36">
            <v>0</v>
          </cell>
          <cell r="L36">
            <v>0</v>
          </cell>
          <cell r="M36">
            <v>0</v>
          </cell>
          <cell r="N36">
            <v>0</v>
          </cell>
          <cell r="O36">
            <v>0</v>
          </cell>
          <cell r="P36">
            <v>0</v>
          </cell>
          <cell r="Q36">
            <v>0</v>
          </cell>
        </row>
        <row r="37">
          <cell r="A37">
            <v>14</v>
          </cell>
          <cell r="B37" t="str">
            <v>31 ـ 13</v>
          </cell>
          <cell r="C37" t="str">
            <v>2017/01/02</v>
          </cell>
          <cell r="D37" t="str">
            <v>جانفـي</v>
          </cell>
          <cell r="E37" t="str">
            <v>مرتـب شهـر جانفـي 2017 ( صنف المستخدمين أعوان الوقاية ومتعاقدين توقيت كلي و جزئي )</v>
          </cell>
          <cell r="F37">
            <v>71926.66</v>
          </cell>
          <cell r="G37">
            <v>0</v>
          </cell>
          <cell r="H37">
            <v>0</v>
          </cell>
          <cell r="I37">
            <v>0</v>
          </cell>
          <cell r="J37">
            <v>0</v>
          </cell>
          <cell r="K37">
            <v>0</v>
          </cell>
          <cell r="L37">
            <v>0</v>
          </cell>
          <cell r="M37">
            <v>0</v>
          </cell>
          <cell r="N37">
            <v>0</v>
          </cell>
          <cell r="O37">
            <v>0</v>
          </cell>
          <cell r="P37">
            <v>0</v>
          </cell>
          <cell r="Q37">
            <v>0</v>
          </cell>
        </row>
        <row r="38">
          <cell r="A38">
            <v>14</v>
          </cell>
          <cell r="B38" t="str">
            <v>31 ـ 13</v>
          </cell>
          <cell r="C38" t="str">
            <v>2017/01/02</v>
          </cell>
          <cell r="D38" t="str">
            <v>جانفـي</v>
          </cell>
          <cell r="E38" t="str">
            <v>مرتـب شهـر جانفـي 2017 ( صنف المستخدمين أعوان الوقاية ومتعاقدين توقيت كلي و جزئي )</v>
          </cell>
          <cell r="F38">
            <v>46221.15</v>
          </cell>
          <cell r="G38">
            <v>0</v>
          </cell>
          <cell r="H38">
            <v>0</v>
          </cell>
          <cell r="I38">
            <v>0</v>
          </cell>
          <cell r="J38">
            <v>0</v>
          </cell>
          <cell r="K38">
            <v>0</v>
          </cell>
          <cell r="L38">
            <v>0</v>
          </cell>
          <cell r="M38">
            <v>0</v>
          </cell>
          <cell r="N38">
            <v>0</v>
          </cell>
          <cell r="O38">
            <v>0</v>
          </cell>
          <cell r="P38">
            <v>0</v>
          </cell>
          <cell r="Q38">
            <v>0</v>
          </cell>
        </row>
        <row r="39">
          <cell r="A39">
            <v>14</v>
          </cell>
          <cell r="B39" t="str">
            <v>31 ـ 13</v>
          </cell>
          <cell r="C39" t="str">
            <v>2017/01/02</v>
          </cell>
          <cell r="D39" t="str">
            <v>جانفـي</v>
          </cell>
          <cell r="E39" t="str">
            <v>مرتـب شهـر جانفـي 2017 ( صنف المستخدمين أعوان الوقاية ومتعاقدين توقيت كلي و جزئي )</v>
          </cell>
          <cell r="F39">
            <v>6200</v>
          </cell>
          <cell r="G39">
            <v>124347.81</v>
          </cell>
          <cell r="H39">
            <v>0</v>
          </cell>
          <cell r="I39">
            <v>0</v>
          </cell>
          <cell r="J39">
            <v>0</v>
          </cell>
          <cell r="K39">
            <v>0</v>
          </cell>
          <cell r="L39">
            <v>0</v>
          </cell>
          <cell r="M39">
            <v>0</v>
          </cell>
          <cell r="N39">
            <v>0</v>
          </cell>
          <cell r="O39">
            <v>0</v>
          </cell>
          <cell r="P39">
            <v>0</v>
          </cell>
          <cell r="Q39">
            <v>0</v>
          </cell>
        </row>
        <row r="40">
          <cell r="A40">
            <v>15</v>
          </cell>
          <cell r="B40" t="str">
            <v>31 ـ 13</v>
          </cell>
          <cell r="C40" t="str">
            <v>2017/01/02</v>
          </cell>
          <cell r="D40" t="str">
            <v>جانفـي</v>
          </cell>
          <cell r="E40" t="str">
            <v>مرتـب شهـر جانفـي 2017 ( صنف المستخدمين أعوان الوقاية ومتعاقدين توقيت كلي و جزئي )</v>
          </cell>
          <cell r="F40">
            <v>159982.69</v>
          </cell>
          <cell r="G40">
            <v>0</v>
          </cell>
          <cell r="H40">
            <v>0</v>
          </cell>
          <cell r="I40">
            <v>0</v>
          </cell>
          <cell r="J40">
            <v>0</v>
          </cell>
          <cell r="K40">
            <v>0</v>
          </cell>
          <cell r="L40">
            <v>0</v>
          </cell>
          <cell r="M40">
            <v>0</v>
          </cell>
          <cell r="N40">
            <v>0</v>
          </cell>
          <cell r="O40">
            <v>0</v>
          </cell>
          <cell r="P40">
            <v>0</v>
          </cell>
          <cell r="Q40">
            <v>0</v>
          </cell>
        </row>
        <row r="41">
          <cell r="A41">
            <v>15</v>
          </cell>
          <cell r="B41" t="str">
            <v>31 ـ 13</v>
          </cell>
          <cell r="C41" t="str">
            <v>2017/01/02</v>
          </cell>
          <cell r="D41" t="str">
            <v>جانفـي</v>
          </cell>
          <cell r="E41" t="str">
            <v>مرتـب شهـر جانفـي 2017 ( صنف المستخدمين أعوان الوقاية ومتعاقدين توقيت كلي و جزئي )</v>
          </cell>
          <cell r="F41">
            <v>103251.61</v>
          </cell>
          <cell r="G41">
            <v>0</v>
          </cell>
          <cell r="H41">
            <v>0</v>
          </cell>
          <cell r="I41">
            <v>0</v>
          </cell>
          <cell r="J41">
            <v>0</v>
          </cell>
          <cell r="K41">
            <v>0</v>
          </cell>
          <cell r="L41">
            <v>0</v>
          </cell>
          <cell r="M41">
            <v>0</v>
          </cell>
          <cell r="N41">
            <v>0</v>
          </cell>
          <cell r="O41">
            <v>0</v>
          </cell>
          <cell r="P41">
            <v>0</v>
          </cell>
          <cell r="Q41">
            <v>0</v>
          </cell>
        </row>
        <row r="42">
          <cell r="A42">
            <v>15</v>
          </cell>
          <cell r="B42" t="str">
            <v>31 ـ 13</v>
          </cell>
          <cell r="C42" t="str">
            <v>2017/01/02</v>
          </cell>
          <cell r="D42" t="str">
            <v>جانفـي</v>
          </cell>
          <cell r="E42" t="str">
            <v>مرتـب شهـر جانفـي 2017 ( صنف المستخدمين أعوان الوقاية ومتعاقدين توقيت كلي و جزئي )</v>
          </cell>
          <cell r="F42">
            <v>14822.5</v>
          </cell>
          <cell r="G42">
            <v>0</v>
          </cell>
          <cell r="H42">
            <v>0</v>
          </cell>
          <cell r="I42">
            <v>0</v>
          </cell>
          <cell r="J42">
            <v>0</v>
          </cell>
          <cell r="K42">
            <v>0</v>
          </cell>
          <cell r="L42">
            <v>0</v>
          </cell>
          <cell r="M42">
            <v>0</v>
          </cell>
          <cell r="N42">
            <v>0</v>
          </cell>
          <cell r="O42">
            <v>0</v>
          </cell>
          <cell r="P42">
            <v>0</v>
          </cell>
          <cell r="Q42">
            <v>0</v>
          </cell>
        </row>
        <row r="43">
          <cell r="A43">
            <v>16</v>
          </cell>
          <cell r="B43" t="str">
            <v>31 ـ 13</v>
          </cell>
          <cell r="C43" t="str">
            <v>2017/01/02</v>
          </cell>
          <cell r="D43" t="str">
            <v>جانفـي</v>
          </cell>
          <cell r="E43" t="str">
            <v>مرتـب شهـر جانفـي 2017 ( صنف المستخدمين أعوان الوقاية ومتعاقدين توقيت كلي و جزئي )</v>
          </cell>
          <cell r="F43">
            <v>1055393.19</v>
          </cell>
          <cell r="G43">
            <v>0</v>
          </cell>
          <cell r="H43">
            <v>0</v>
          </cell>
          <cell r="I43">
            <v>0</v>
          </cell>
          <cell r="J43">
            <v>0</v>
          </cell>
          <cell r="K43">
            <v>0</v>
          </cell>
          <cell r="L43">
            <v>0</v>
          </cell>
          <cell r="M43">
            <v>0</v>
          </cell>
          <cell r="N43">
            <v>0</v>
          </cell>
          <cell r="O43">
            <v>0</v>
          </cell>
          <cell r="P43">
            <v>0</v>
          </cell>
          <cell r="Q43">
            <v>0</v>
          </cell>
        </row>
        <row r="44">
          <cell r="A44">
            <v>16</v>
          </cell>
          <cell r="B44" t="str">
            <v>31 ـ 13</v>
          </cell>
          <cell r="C44" t="str">
            <v>2017/01/02</v>
          </cell>
          <cell r="D44" t="str">
            <v>جانفـي</v>
          </cell>
          <cell r="E44" t="str">
            <v>مرتـب شهـر جانفـي 2017 ( صنف المستخدمين أعوان الوقاية ومتعاقدين توقيت كلي و جزئي )</v>
          </cell>
          <cell r="F44">
            <v>759736.42</v>
          </cell>
          <cell r="G44">
            <v>0</v>
          </cell>
          <cell r="H44">
            <v>0</v>
          </cell>
          <cell r="I44">
            <v>0</v>
          </cell>
          <cell r="J44">
            <v>0</v>
          </cell>
          <cell r="K44">
            <v>0</v>
          </cell>
          <cell r="L44">
            <v>0</v>
          </cell>
          <cell r="M44">
            <v>0</v>
          </cell>
          <cell r="N44">
            <v>0</v>
          </cell>
          <cell r="O44">
            <v>0</v>
          </cell>
          <cell r="P44">
            <v>0</v>
          </cell>
          <cell r="Q44">
            <v>0</v>
          </cell>
        </row>
        <row r="45">
          <cell r="A45">
            <v>16</v>
          </cell>
          <cell r="B45" t="str">
            <v>31 ـ 13</v>
          </cell>
          <cell r="C45" t="str">
            <v>2017/01/02</v>
          </cell>
          <cell r="D45" t="str">
            <v>جانفـي</v>
          </cell>
          <cell r="E45" t="str">
            <v>مرتـب شهـر جانفـي 2017 ( صنف المستخدمين أعوان الوقاية ومتعاقدين توقيت كلي و جزئي )</v>
          </cell>
          <cell r="F45">
            <v>95857.5</v>
          </cell>
          <cell r="G45">
            <v>0</v>
          </cell>
          <cell r="H45">
            <v>0</v>
          </cell>
          <cell r="I45">
            <v>0</v>
          </cell>
          <cell r="J45">
            <v>0</v>
          </cell>
          <cell r="K45">
            <v>0</v>
          </cell>
          <cell r="L45">
            <v>0</v>
          </cell>
          <cell r="M45">
            <v>0</v>
          </cell>
          <cell r="N45">
            <v>0</v>
          </cell>
          <cell r="O45">
            <v>0</v>
          </cell>
          <cell r="P45">
            <v>0</v>
          </cell>
          <cell r="Q45">
            <v>0</v>
          </cell>
        </row>
        <row r="46">
          <cell r="A46">
            <v>17</v>
          </cell>
          <cell r="B46" t="str">
            <v>31 ـ 13</v>
          </cell>
          <cell r="C46" t="str">
            <v>2017/01/02</v>
          </cell>
          <cell r="D46" t="str">
            <v>جانفـي</v>
          </cell>
          <cell r="E46" t="str">
            <v>مرتـب شهـر جانفـي 2017 ( صنف المستخدمين أعوان الوقاية ومتعاقدين توقيت كلي و جزئي )</v>
          </cell>
          <cell r="F46">
            <v>46646.05</v>
          </cell>
          <cell r="G46">
            <v>0</v>
          </cell>
          <cell r="H46">
            <v>0</v>
          </cell>
          <cell r="I46">
            <v>0</v>
          </cell>
          <cell r="J46">
            <v>0</v>
          </cell>
          <cell r="K46">
            <v>0</v>
          </cell>
          <cell r="L46">
            <v>0</v>
          </cell>
          <cell r="M46">
            <v>0</v>
          </cell>
          <cell r="N46">
            <v>0</v>
          </cell>
          <cell r="O46">
            <v>0</v>
          </cell>
          <cell r="P46">
            <v>0</v>
          </cell>
          <cell r="Q46">
            <v>0</v>
          </cell>
        </row>
        <row r="47">
          <cell r="A47">
            <v>17</v>
          </cell>
          <cell r="B47" t="str">
            <v>31 ـ 13</v>
          </cell>
          <cell r="C47" t="str">
            <v>2017/01/02</v>
          </cell>
          <cell r="D47" t="str">
            <v>جانفـي</v>
          </cell>
          <cell r="E47" t="str">
            <v>مرتـب شهـر جانفـي 2017 ( صنف المستخدمين أعوان الوقاية ومتعاقدين توقيت كلي و جزئي )</v>
          </cell>
          <cell r="F47">
            <v>34439.019999999997</v>
          </cell>
          <cell r="G47">
            <v>0</v>
          </cell>
          <cell r="H47">
            <v>0</v>
          </cell>
          <cell r="I47">
            <v>0</v>
          </cell>
          <cell r="J47">
            <v>0</v>
          </cell>
          <cell r="K47">
            <v>0</v>
          </cell>
          <cell r="L47">
            <v>0</v>
          </cell>
          <cell r="M47">
            <v>0</v>
          </cell>
          <cell r="N47">
            <v>0</v>
          </cell>
          <cell r="O47">
            <v>0</v>
          </cell>
          <cell r="P47">
            <v>0</v>
          </cell>
          <cell r="Q47">
            <v>0</v>
          </cell>
        </row>
        <row r="48">
          <cell r="A48">
            <v>17</v>
          </cell>
          <cell r="B48" t="str">
            <v>31 ـ 13</v>
          </cell>
          <cell r="C48" t="str">
            <v>2017/01/02</v>
          </cell>
          <cell r="D48" t="str">
            <v>جانفـي</v>
          </cell>
          <cell r="E48" t="str">
            <v>مرتـب شهـر جانفـي 2017 ( صنف المستخدمين أعوان الوقاية ومتعاقدين توقيت كلي و جزئي )</v>
          </cell>
          <cell r="F48">
            <v>4300</v>
          </cell>
          <cell r="G48">
            <v>0</v>
          </cell>
          <cell r="H48">
            <v>0</v>
          </cell>
          <cell r="I48">
            <v>0</v>
          </cell>
          <cell r="J48">
            <v>0</v>
          </cell>
          <cell r="K48">
            <v>0</v>
          </cell>
          <cell r="L48">
            <v>0</v>
          </cell>
          <cell r="M48">
            <v>0</v>
          </cell>
          <cell r="N48">
            <v>0</v>
          </cell>
          <cell r="O48">
            <v>0</v>
          </cell>
          <cell r="P48">
            <v>0</v>
          </cell>
          <cell r="Q48">
            <v>0</v>
          </cell>
        </row>
        <row r="49">
          <cell r="A49">
            <v>18</v>
          </cell>
          <cell r="B49" t="str">
            <v>31 ـ 13</v>
          </cell>
          <cell r="C49" t="str">
            <v>2017/01/02</v>
          </cell>
          <cell r="D49" t="str">
            <v>جانفـي</v>
          </cell>
          <cell r="E49" t="str">
            <v>مرتـب شهـر جانفـي 2017 ( صنف المستخدمين عمال مهنيين عقد محدد المدة توقيت جزئي )</v>
          </cell>
          <cell r="F49">
            <v>14236.94</v>
          </cell>
          <cell r="G49">
            <v>0</v>
          </cell>
          <cell r="H49">
            <v>0</v>
          </cell>
          <cell r="I49">
            <v>0</v>
          </cell>
          <cell r="J49">
            <v>0</v>
          </cell>
          <cell r="K49">
            <v>0</v>
          </cell>
          <cell r="L49">
            <v>0</v>
          </cell>
          <cell r="M49">
            <v>0</v>
          </cell>
          <cell r="N49">
            <v>0</v>
          </cell>
          <cell r="O49">
            <v>0</v>
          </cell>
          <cell r="P49">
            <v>0</v>
          </cell>
          <cell r="Q49">
            <v>0</v>
          </cell>
        </row>
        <row r="50">
          <cell r="A50">
            <v>18</v>
          </cell>
          <cell r="B50" t="str">
            <v>31 ـ 13</v>
          </cell>
          <cell r="C50" t="str">
            <v>2017/01/02</v>
          </cell>
          <cell r="D50" t="str">
            <v>جانفـي</v>
          </cell>
          <cell r="E50" t="str">
            <v>مرتـب شهـر جانفـي 2017 ( صنف المستخدمين عمال مهنيين عقد محدد المدة توقيت جزئي )</v>
          </cell>
          <cell r="F50">
            <v>13753.79</v>
          </cell>
          <cell r="G50">
            <v>0</v>
          </cell>
          <cell r="H50">
            <v>0</v>
          </cell>
          <cell r="I50">
            <v>0</v>
          </cell>
          <cell r="J50">
            <v>0</v>
          </cell>
          <cell r="K50">
            <v>0</v>
          </cell>
          <cell r="L50">
            <v>0</v>
          </cell>
          <cell r="M50">
            <v>0</v>
          </cell>
          <cell r="N50">
            <v>0</v>
          </cell>
          <cell r="O50">
            <v>0</v>
          </cell>
          <cell r="P50">
            <v>0</v>
          </cell>
          <cell r="Q50">
            <v>0</v>
          </cell>
        </row>
        <row r="51">
          <cell r="A51">
            <v>19</v>
          </cell>
          <cell r="B51" t="str">
            <v>31 ـ 13</v>
          </cell>
          <cell r="C51" t="str">
            <v>2017/01/02</v>
          </cell>
          <cell r="D51" t="str">
            <v>جانفـي</v>
          </cell>
          <cell r="E51" t="str">
            <v>مرتـب شهـر جانفـي 2017 ( صنف المستخدمين عمال مهنيين عقد محدد المدة توقيت جزئي )</v>
          </cell>
          <cell r="F51">
            <v>17109.63</v>
          </cell>
          <cell r="G51">
            <v>0</v>
          </cell>
          <cell r="H51">
            <v>0</v>
          </cell>
          <cell r="I51">
            <v>0</v>
          </cell>
          <cell r="J51">
            <v>0</v>
          </cell>
          <cell r="K51">
            <v>0</v>
          </cell>
          <cell r="L51">
            <v>0</v>
          </cell>
          <cell r="M51">
            <v>0</v>
          </cell>
          <cell r="N51">
            <v>0</v>
          </cell>
          <cell r="O51">
            <v>0</v>
          </cell>
          <cell r="P51">
            <v>0</v>
          </cell>
          <cell r="Q51">
            <v>0</v>
          </cell>
        </row>
        <row r="52">
          <cell r="A52">
            <v>19</v>
          </cell>
          <cell r="B52" t="str">
            <v>31 ـ 13</v>
          </cell>
          <cell r="C52" t="str">
            <v>2017/01/02</v>
          </cell>
          <cell r="D52" t="str">
            <v>جانفـي</v>
          </cell>
          <cell r="E52" t="str">
            <v>مرتـب شهـر جانفـي 2017 ( صنف المستخدمين عمال مهنيين عقد محدد المدة توقيت جزئي )</v>
          </cell>
          <cell r="F52">
            <v>20424.43</v>
          </cell>
          <cell r="G52">
            <v>0</v>
          </cell>
          <cell r="H52">
            <v>0</v>
          </cell>
          <cell r="I52">
            <v>0</v>
          </cell>
          <cell r="J52">
            <v>0</v>
          </cell>
          <cell r="K52">
            <v>0</v>
          </cell>
          <cell r="L52">
            <v>0</v>
          </cell>
          <cell r="M52">
            <v>0</v>
          </cell>
          <cell r="N52">
            <v>0</v>
          </cell>
          <cell r="O52">
            <v>0</v>
          </cell>
          <cell r="P52">
            <v>0</v>
          </cell>
          <cell r="Q52">
            <v>0</v>
          </cell>
        </row>
        <row r="53">
          <cell r="A53">
            <v>19</v>
          </cell>
          <cell r="B53" t="str">
            <v>31 ـ 13</v>
          </cell>
          <cell r="C53" t="str">
            <v>2017/01/02</v>
          </cell>
          <cell r="D53" t="str">
            <v>جانفـي</v>
          </cell>
          <cell r="E53" t="str">
            <v>مرتـب شهـر جانفـي 2017 ( صنف المستخدمين عمال مهنيين عقد محدد المدة توقيت جزئي )</v>
          </cell>
          <cell r="F53">
            <v>2922.5</v>
          </cell>
          <cell r="G53">
            <v>0</v>
          </cell>
          <cell r="H53">
            <v>0</v>
          </cell>
          <cell r="I53">
            <v>0</v>
          </cell>
          <cell r="J53">
            <v>0</v>
          </cell>
          <cell r="K53">
            <v>0</v>
          </cell>
          <cell r="L53">
            <v>0</v>
          </cell>
          <cell r="M53">
            <v>0</v>
          </cell>
          <cell r="N53">
            <v>0</v>
          </cell>
          <cell r="O53">
            <v>0</v>
          </cell>
          <cell r="P53">
            <v>0</v>
          </cell>
          <cell r="Q53">
            <v>0</v>
          </cell>
        </row>
        <row r="54">
          <cell r="A54">
            <v>20</v>
          </cell>
          <cell r="B54" t="str">
            <v>31 ـ 13</v>
          </cell>
          <cell r="C54" t="str">
            <v>2017/01/02</v>
          </cell>
          <cell r="D54" t="str">
            <v>جانفـي</v>
          </cell>
          <cell r="E54" t="str">
            <v>مرتـب شهـر جانفـي 2017 ( صنف المستخدمين أعوان الوقاية عقد محدد المدة توقيت جزئي 05 سا و 08 سا )</v>
          </cell>
          <cell r="F54">
            <v>700997.46</v>
          </cell>
          <cell r="G54">
            <v>0</v>
          </cell>
          <cell r="H54">
            <v>0</v>
          </cell>
          <cell r="I54">
            <v>0</v>
          </cell>
          <cell r="J54">
            <v>0</v>
          </cell>
          <cell r="K54">
            <v>0</v>
          </cell>
          <cell r="L54">
            <v>0</v>
          </cell>
          <cell r="M54">
            <v>0</v>
          </cell>
          <cell r="N54">
            <v>0</v>
          </cell>
          <cell r="O54">
            <v>0</v>
          </cell>
          <cell r="P54">
            <v>0</v>
          </cell>
          <cell r="Q54">
            <v>0</v>
          </cell>
        </row>
        <row r="55">
          <cell r="A55">
            <v>21</v>
          </cell>
          <cell r="B55" t="str">
            <v>31 ـ 13</v>
          </cell>
          <cell r="C55" t="str">
            <v>2017/01/02</v>
          </cell>
          <cell r="D55" t="str">
            <v>جانفـي</v>
          </cell>
          <cell r="E55" t="str">
            <v>مرتـب شهـر جانفـي 2017 ( صنف المستخدمين توقيت جزئي )</v>
          </cell>
          <cell r="F55">
            <v>26074.33</v>
          </cell>
          <cell r="G55">
            <v>0</v>
          </cell>
          <cell r="H55">
            <v>0</v>
          </cell>
          <cell r="I55">
            <v>0</v>
          </cell>
          <cell r="J55">
            <v>0</v>
          </cell>
          <cell r="K55">
            <v>0</v>
          </cell>
          <cell r="L55">
            <v>0</v>
          </cell>
          <cell r="M55">
            <v>0</v>
          </cell>
          <cell r="N55">
            <v>0</v>
          </cell>
          <cell r="O55">
            <v>0</v>
          </cell>
          <cell r="P55">
            <v>0</v>
          </cell>
          <cell r="Q55">
            <v>0</v>
          </cell>
        </row>
        <row r="56">
          <cell r="A56">
            <v>21</v>
          </cell>
          <cell r="B56" t="str">
            <v>31 ـ 13</v>
          </cell>
          <cell r="C56" t="str">
            <v>2017/01/02</v>
          </cell>
          <cell r="D56" t="str">
            <v>جانفـي</v>
          </cell>
          <cell r="E56" t="str">
            <v>مرتـب شهـر جانفـي 2017 ( صنف المستخدمين توقيت جزئي )</v>
          </cell>
          <cell r="F56">
            <v>21361.32</v>
          </cell>
          <cell r="G56">
            <v>0</v>
          </cell>
          <cell r="H56">
            <v>0</v>
          </cell>
          <cell r="I56">
            <v>0</v>
          </cell>
          <cell r="J56">
            <v>0</v>
          </cell>
          <cell r="K56">
            <v>0</v>
          </cell>
          <cell r="L56">
            <v>0</v>
          </cell>
          <cell r="M56">
            <v>0</v>
          </cell>
          <cell r="N56">
            <v>0</v>
          </cell>
          <cell r="O56">
            <v>0</v>
          </cell>
          <cell r="P56">
            <v>0</v>
          </cell>
          <cell r="Q56">
            <v>0</v>
          </cell>
        </row>
        <row r="57">
          <cell r="A57">
            <v>21</v>
          </cell>
          <cell r="B57" t="str">
            <v>31 ـ 13</v>
          </cell>
          <cell r="C57" t="str">
            <v>2017/01/02</v>
          </cell>
          <cell r="D57" t="str">
            <v>جانفـي</v>
          </cell>
          <cell r="E57" t="str">
            <v>مرتـب شهـر جانفـي 2017 ( صنف المستخدمين توقيت جزئي )</v>
          </cell>
          <cell r="F57">
            <v>2811.25</v>
          </cell>
          <cell r="G57">
            <v>0</v>
          </cell>
          <cell r="H57">
            <v>0</v>
          </cell>
          <cell r="I57">
            <v>0</v>
          </cell>
          <cell r="J57">
            <v>0</v>
          </cell>
          <cell r="K57">
            <v>0</v>
          </cell>
          <cell r="L57">
            <v>0</v>
          </cell>
          <cell r="M57">
            <v>0</v>
          </cell>
          <cell r="N57">
            <v>0</v>
          </cell>
          <cell r="O57">
            <v>0</v>
          </cell>
          <cell r="P57">
            <v>0</v>
          </cell>
          <cell r="Q57">
            <v>0</v>
          </cell>
        </row>
        <row r="58">
          <cell r="A58">
            <v>22</v>
          </cell>
          <cell r="B58" t="str">
            <v>31 ـ 13</v>
          </cell>
          <cell r="C58" t="str">
            <v>2017/01/02</v>
          </cell>
          <cell r="D58" t="str">
            <v>جانفـي</v>
          </cell>
          <cell r="E58" t="str">
            <v>مرتـب شهـر جانفـي 2017 ( صنف المستخدمين توقيت جزئي )</v>
          </cell>
          <cell r="F58">
            <v>130376.51</v>
          </cell>
          <cell r="G58">
            <v>0</v>
          </cell>
          <cell r="H58">
            <v>0</v>
          </cell>
          <cell r="I58">
            <v>0</v>
          </cell>
          <cell r="J58">
            <v>0</v>
          </cell>
          <cell r="K58">
            <v>0</v>
          </cell>
          <cell r="L58">
            <v>0</v>
          </cell>
          <cell r="M58">
            <v>0</v>
          </cell>
          <cell r="N58">
            <v>0</v>
          </cell>
          <cell r="O58">
            <v>0</v>
          </cell>
          <cell r="P58">
            <v>0</v>
          </cell>
          <cell r="Q58">
            <v>0</v>
          </cell>
        </row>
        <row r="59">
          <cell r="A59">
            <v>22</v>
          </cell>
          <cell r="B59" t="str">
            <v>31 ـ 13</v>
          </cell>
          <cell r="C59" t="str">
            <v>2017/01/02</v>
          </cell>
          <cell r="D59" t="str">
            <v>جانفـي</v>
          </cell>
          <cell r="E59" t="str">
            <v>مرتـب شهـر جانفـي 2017 ( صنف المستخدمين توقيت جزئي )</v>
          </cell>
          <cell r="F59">
            <v>106945.37</v>
          </cell>
          <cell r="G59">
            <v>0</v>
          </cell>
          <cell r="H59">
            <v>0</v>
          </cell>
          <cell r="I59">
            <v>0</v>
          </cell>
          <cell r="J59">
            <v>0</v>
          </cell>
          <cell r="K59">
            <v>0</v>
          </cell>
          <cell r="L59">
            <v>0</v>
          </cell>
          <cell r="M59">
            <v>0</v>
          </cell>
          <cell r="N59">
            <v>0</v>
          </cell>
          <cell r="O59">
            <v>0</v>
          </cell>
          <cell r="P59">
            <v>0</v>
          </cell>
          <cell r="Q59">
            <v>0</v>
          </cell>
        </row>
        <row r="60">
          <cell r="A60">
            <v>22</v>
          </cell>
          <cell r="B60" t="str">
            <v>31 ـ 13</v>
          </cell>
          <cell r="C60" t="str">
            <v>2017/01/02</v>
          </cell>
          <cell r="D60" t="str">
            <v>جانفـي</v>
          </cell>
          <cell r="E60" t="str">
            <v>مرتـب شهـر جانفـي 2017 ( صنف المستخدمين توقيت جزئي )</v>
          </cell>
          <cell r="F60">
            <v>6911.25</v>
          </cell>
          <cell r="G60">
            <v>0</v>
          </cell>
          <cell r="H60">
            <v>0</v>
          </cell>
          <cell r="I60">
            <v>0</v>
          </cell>
          <cell r="J60">
            <v>0</v>
          </cell>
          <cell r="K60">
            <v>0</v>
          </cell>
          <cell r="L60">
            <v>0</v>
          </cell>
          <cell r="M60">
            <v>0</v>
          </cell>
          <cell r="N60">
            <v>0</v>
          </cell>
          <cell r="O60">
            <v>0</v>
          </cell>
          <cell r="P60">
            <v>0</v>
          </cell>
          <cell r="Q60">
            <v>0</v>
          </cell>
        </row>
        <row r="61">
          <cell r="A61">
            <v>23</v>
          </cell>
          <cell r="B61" t="str">
            <v>31 ـ 13</v>
          </cell>
          <cell r="C61" t="str">
            <v>2017/01/02</v>
          </cell>
          <cell r="D61" t="str">
            <v>جانفـي</v>
          </cell>
          <cell r="E61" t="str">
            <v>مرتـب شهـر جانفـي 2017 ( صنف المستخدمين متعاقدين عقد غير محدد المدة بالتوقيت الكلي )</v>
          </cell>
          <cell r="F61">
            <v>14592.96</v>
          </cell>
          <cell r="G61">
            <v>0</v>
          </cell>
          <cell r="H61">
            <v>0</v>
          </cell>
          <cell r="I61">
            <v>0</v>
          </cell>
          <cell r="J61">
            <v>0</v>
          </cell>
          <cell r="K61">
            <v>0</v>
          </cell>
          <cell r="L61">
            <v>0</v>
          </cell>
          <cell r="M61">
            <v>0</v>
          </cell>
          <cell r="N61">
            <v>0</v>
          </cell>
          <cell r="O61">
            <v>0</v>
          </cell>
          <cell r="P61">
            <v>0</v>
          </cell>
          <cell r="Q61">
            <v>0</v>
          </cell>
        </row>
        <row r="62">
          <cell r="A62">
            <v>23</v>
          </cell>
          <cell r="B62" t="str">
            <v>31 ـ 13</v>
          </cell>
          <cell r="C62" t="str">
            <v>2017/01/02</v>
          </cell>
          <cell r="D62" t="str">
            <v>جانفـي</v>
          </cell>
          <cell r="E62" t="str">
            <v>مرتـب شهـر جانفـي 2017 ( صنف المستخدمين متعاقدين عقد غير محدد المدة بالتوقيت الكلي )</v>
          </cell>
          <cell r="F62">
            <v>10840.87</v>
          </cell>
          <cell r="G62">
            <v>0</v>
          </cell>
          <cell r="H62">
            <v>0</v>
          </cell>
          <cell r="I62">
            <v>0</v>
          </cell>
          <cell r="J62">
            <v>0</v>
          </cell>
          <cell r="K62">
            <v>0</v>
          </cell>
          <cell r="L62">
            <v>0</v>
          </cell>
          <cell r="M62">
            <v>0</v>
          </cell>
          <cell r="N62">
            <v>0</v>
          </cell>
          <cell r="O62">
            <v>0</v>
          </cell>
          <cell r="P62">
            <v>0</v>
          </cell>
          <cell r="Q62">
            <v>0</v>
          </cell>
        </row>
        <row r="63">
          <cell r="A63">
            <v>23</v>
          </cell>
          <cell r="B63" t="str">
            <v>31 ـ 13</v>
          </cell>
          <cell r="C63" t="str">
            <v>2017/01/02</v>
          </cell>
          <cell r="D63" t="str">
            <v>جانفـي</v>
          </cell>
          <cell r="E63" t="str">
            <v>مرتـب شهـر جانفـي 2017 ( صنف المستخدمين متعاقدين عقد غير محدد المدة بالتوقيت الكلي )</v>
          </cell>
          <cell r="F63">
            <v>1400</v>
          </cell>
          <cell r="G63">
            <v>0</v>
          </cell>
          <cell r="H63">
            <v>0</v>
          </cell>
          <cell r="I63">
            <v>0</v>
          </cell>
          <cell r="J63">
            <v>0</v>
          </cell>
          <cell r="K63">
            <v>0</v>
          </cell>
          <cell r="L63">
            <v>0</v>
          </cell>
          <cell r="M63">
            <v>0</v>
          </cell>
          <cell r="N63">
            <v>0</v>
          </cell>
          <cell r="O63">
            <v>0</v>
          </cell>
          <cell r="P63">
            <v>0</v>
          </cell>
          <cell r="Q63">
            <v>0</v>
          </cell>
        </row>
        <row r="64">
          <cell r="A64">
            <v>24</v>
          </cell>
          <cell r="B64" t="str">
            <v>31 ـ 13</v>
          </cell>
          <cell r="C64" t="str">
            <v>2017/01/02</v>
          </cell>
          <cell r="D64" t="str">
            <v>جانفـي</v>
          </cell>
          <cell r="E64" t="str">
            <v>مرتـب شهـر جانفـي 2017 ( صنف المستخدمين متعاقدين عقد غير محدد المدة بالتوقيت الكلي )</v>
          </cell>
          <cell r="F64">
            <v>26474.959999999999</v>
          </cell>
          <cell r="G64">
            <v>0</v>
          </cell>
          <cell r="H64">
            <v>0</v>
          </cell>
          <cell r="I64">
            <v>0</v>
          </cell>
          <cell r="J64">
            <v>0</v>
          </cell>
          <cell r="K64">
            <v>0</v>
          </cell>
          <cell r="L64">
            <v>0</v>
          </cell>
          <cell r="M64">
            <v>0</v>
          </cell>
          <cell r="N64">
            <v>0</v>
          </cell>
          <cell r="O64">
            <v>0</v>
          </cell>
          <cell r="P64">
            <v>0</v>
          </cell>
          <cell r="Q64">
            <v>0</v>
          </cell>
        </row>
        <row r="65">
          <cell r="A65">
            <v>24</v>
          </cell>
          <cell r="B65" t="str">
            <v>31 ـ 13</v>
          </cell>
          <cell r="C65" t="str">
            <v>2017/01/02</v>
          </cell>
          <cell r="D65" t="str">
            <v>جانفـي</v>
          </cell>
          <cell r="E65" t="str">
            <v>مرتـب شهـر جانفـي 2017 ( صنف المستخدمين متعاقدين عقد غير محدد المدة بالتوقيت الكلي )</v>
          </cell>
          <cell r="F65">
            <v>22469.84</v>
          </cell>
          <cell r="G65">
            <v>0</v>
          </cell>
          <cell r="H65">
            <v>0</v>
          </cell>
          <cell r="I65">
            <v>0</v>
          </cell>
          <cell r="J65">
            <v>0</v>
          </cell>
          <cell r="K65">
            <v>0</v>
          </cell>
          <cell r="L65">
            <v>0</v>
          </cell>
          <cell r="M65">
            <v>0</v>
          </cell>
          <cell r="N65">
            <v>0</v>
          </cell>
          <cell r="O65">
            <v>0</v>
          </cell>
          <cell r="P65">
            <v>0</v>
          </cell>
          <cell r="Q65">
            <v>0</v>
          </cell>
        </row>
        <row r="66">
          <cell r="A66">
            <v>24</v>
          </cell>
          <cell r="B66" t="str">
            <v>31 ـ 13</v>
          </cell>
          <cell r="C66" t="str">
            <v>2017/01/02</v>
          </cell>
          <cell r="D66" t="str">
            <v>جانفـي</v>
          </cell>
          <cell r="E66" t="str">
            <v>مرتـب شهـر جانفـي 2017 ( صنف المستخدمين متعاقدين عقد غير محدد المدة بالتوقيت الكلي )</v>
          </cell>
          <cell r="F66">
            <v>1700</v>
          </cell>
          <cell r="G66">
            <v>0</v>
          </cell>
          <cell r="H66">
            <v>0</v>
          </cell>
          <cell r="I66">
            <v>0</v>
          </cell>
          <cell r="J66">
            <v>0</v>
          </cell>
          <cell r="K66">
            <v>0</v>
          </cell>
          <cell r="L66">
            <v>0</v>
          </cell>
          <cell r="M66">
            <v>0</v>
          </cell>
          <cell r="N66">
            <v>0</v>
          </cell>
          <cell r="O66">
            <v>0</v>
          </cell>
          <cell r="P66">
            <v>0</v>
          </cell>
          <cell r="Q66">
            <v>0</v>
          </cell>
        </row>
        <row r="67">
          <cell r="A67">
            <v>25</v>
          </cell>
          <cell r="B67" t="str">
            <v>31 ـ 13</v>
          </cell>
          <cell r="C67" t="str">
            <v>2017/01/02</v>
          </cell>
          <cell r="D67" t="str">
            <v>جانفـي</v>
          </cell>
          <cell r="E67" t="str">
            <v>مرتـب شهـر جانفـي 2017 ( صنف المستخدمين متعاقدين عقد غير محدد المدة بالتوقيت الكلي )</v>
          </cell>
          <cell r="F67">
            <v>47165.18</v>
          </cell>
          <cell r="G67">
            <v>0</v>
          </cell>
          <cell r="H67">
            <v>0</v>
          </cell>
          <cell r="I67">
            <v>0</v>
          </cell>
          <cell r="J67">
            <v>0</v>
          </cell>
          <cell r="K67">
            <v>0</v>
          </cell>
          <cell r="L67">
            <v>0</v>
          </cell>
          <cell r="M67">
            <v>0</v>
          </cell>
          <cell r="N67">
            <v>0</v>
          </cell>
          <cell r="O67">
            <v>0</v>
          </cell>
          <cell r="P67">
            <v>0</v>
          </cell>
          <cell r="Q67">
            <v>0</v>
          </cell>
        </row>
        <row r="68">
          <cell r="A68">
            <v>25</v>
          </cell>
          <cell r="B68" t="str">
            <v>31 ـ 13</v>
          </cell>
          <cell r="C68" t="str">
            <v>2017/01/02</v>
          </cell>
          <cell r="D68" t="str">
            <v>جانفـي</v>
          </cell>
          <cell r="E68" t="str">
            <v>مرتـب شهـر جانفـي 2017 ( صنف المستخدمين متعاقدين عقد غير محدد المدة بالتوقيت الكلي )</v>
          </cell>
          <cell r="F68">
            <v>45186.559999999998</v>
          </cell>
          <cell r="G68">
            <v>0</v>
          </cell>
          <cell r="H68">
            <v>0</v>
          </cell>
          <cell r="I68">
            <v>0</v>
          </cell>
          <cell r="J68">
            <v>0</v>
          </cell>
          <cell r="K68">
            <v>0</v>
          </cell>
          <cell r="L68">
            <v>0</v>
          </cell>
          <cell r="M68">
            <v>0</v>
          </cell>
          <cell r="N68">
            <v>0</v>
          </cell>
          <cell r="O68">
            <v>0</v>
          </cell>
          <cell r="P68">
            <v>0</v>
          </cell>
          <cell r="Q68">
            <v>0</v>
          </cell>
        </row>
        <row r="69">
          <cell r="A69">
            <v>25</v>
          </cell>
          <cell r="B69" t="str">
            <v>31 ـ 13</v>
          </cell>
          <cell r="C69" t="str">
            <v>2017/01/02</v>
          </cell>
          <cell r="D69" t="str">
            <v>جانفـي</v>
          </cell>
          <cell r="E69" t="str">
            <v>مرتـب شهـر جانفـي 2017 ( صنف المستخدمين متعاقدين عقد غير محدد المدة بالتوقيت الكلي )</v>
          </cell>
          <cell r="F69">
            <v>2500</v>
          </cell>
          <cell r="G69">
            <v>0</v>
          </cell>
          <cell r="H69">
            <v>0</v>
          </cell>
          <cell r="I69">
            <v>0</v>
          </cell>
          <cell r="J69">
            <v>0</v>
          </cell>
          <cell r="K69">
            <v>0</v>
          </cell>
          <cell r="L69">
            <v>0</v>
          </cell>
          <cell r="M69">
            <v>0</v>
          </cell>
          <cell r="N69">
            <v>0</v>
          </cell>
          <cell r="O69">
            <v>0</v>
          </cell>
          <cell r="P69">
            <v>0</v>
          </cell>
          <cell r="Q69">
            <v>0</v>
          </cell>
        </row>
        <row r="70">
          <cell r="A70">
            <v>26</v>
          </cell>
          <cell r="B70" t="str">
            <v>31 ـ 13</v>
          </cell>
          <cell r="C70" t="str">
            <v>2017/01/02</v>
          </cell>
          <cell r="D70" t="str">
            <v>جانفـي</v>
          </cell>
          <cell r="E70" t="str">
            <v>مرتـب شهـر جانفـي 2017 ( صنف المستخدمين متعاقدين عقد غير محدد المدة توقيت 05 سا و 08 سا )</v>
          </cell>
          <cell r="F70">
            <v>112871.98</v>
          </cell>
          <cell r="G70">
            <v>0</v>
          </cell>
          <cell r="H70">
            <v>0</v>
          </cell>
          <cell r="I70">
            <v>0</v>
          </cell>
          <cell r="J70">
            <v>0</v>
          </cell>
          <cell r="K70">
            <v>0</v>
          </cell>
          <cell r="L70">
            <v>0</v>
          </cell>
          <cell r="M70">
            <v>0</v>
          </cell>
          <cell r="N70">
            <v>0</v>
          </cell>
          <cell r="O70">
            <v>0</v>
          </cell>
          <cell r="P70">
            <v>0</v>
          </cell>
          <cell r="Q70">
            <v>0</v>
          </cell>
        </row>
        <row r="71">
          <cell r="A71">
            <v>27</v>
          </cell>
          <cell r="B71" t="str">
            <v>31 ـ 11</v>
          </cell>
          <cell r="C71" t="str">
            <v>2017/01/02</v>
          </cell>
          <cell r="D71" t="str">
            <v>جانفـي</v>
          </cell>
          <cell r="E71" t="str">
            <v>مرتـب شهـر جانفـي 2017 ( صنف المستخدمين موظفين مختلف )</v>
          </cell>
          <cell r="F71">
            <v>176810.16</v>
          </cell>
          <cell r="G71">
            <v>0</v>
          </cell>
          <cell r="H71">
            <v>0</v>
          </cell>
          <cell r="I71">
            <v>0</v>
          </cell>
          <cell r="J71">
            <v>0</v>
          </cell>
          <cell r="K71">
            <v>0</v>
          </cell>
          <cell r="L71">
            <v>0</v>
          </cell>
          <cell r="M71">
            <v>0</v>
          </cell>
          <cell r="N71">
            <v>0</v>
          </cell>
          <cell r="O71">
            <v>0</v>
          </cell>
          <cell r="P71">
            <v>0</v>
          </cell>
          <cell r="Q71">
            <v>0</v>
          </cell>
        </row>
        <row r="72">
          <cell r="A72">
            <v>27</v>
          </cell>
          <cell r="B72" t="str">
            <v>31 ـ 12</v>
          </cell>
          <cell r="C72" t="str">
            <v>2017/01/02</v>
          </cell>
          <cell r="D72" t="str">
            <v>جانفـي</v>
          </cell>
          <cell r="E72" t="str">
            <v>مرتـب شهـر جانفـي 2017 ( صنف المستخدمين موظفين مختلف )</v>
          </cell>
          <cell r="F72">
            <v>175471.57</v>
          </cell>
          <cell r="G72">
            <v>0</v>
          </cell>
          <cell r="H72">
            <v>0</v>
          </cell>
          <cell r="I72">
            <v>0</v>
          </cell>
          <cell r="J72">
            <v>0</v>
          </cell>
          <cell r="K72">
            <v>0</v>
          </cell>
          <cell r="L72">
            <v>0</v>
          </cell>
          <cell r="M72">
            <v>0</v>
          </cell>
          <cell r="N72">
            <v>0</v>
          </cell>
          <cell r="O72">
            <v>0</v>
          </cell>
          <cell r="P72">
            <v>0</v>
          </cell>
          <cell r="Q72">
            <v>0</v>
          </cell>
        </row>
        <row r="73">
          <cell r="A73">
            <v>27</v>
          </cell>
          <cell r="B73" t="str">
            <v>33 ـ 11</v>
          </cell>
          <cell r="C73" t="str">
            <v>2017/01/02</v>
          </cell>
          <cell r="D73" t="str">
            <v>جانفـي</v>
          </cell>
          <cell r="E73" t="str">
            <v>مرتـب شهـر جانفـي 2017 ( صنف المستخدمين موظفين مختلف )</v>
          </cell>
          <cell r="F73">
            <v>3767.5</v>
          </cell>
          <cell r="G73">
            <v>0</v>
          </cell>
          <cell r="H73">
            <v>0</v>
          </cell>
          <cell r="I73">
            <v>0</v>
          </cell>
          <cell r="J73">
            <v>0</v>
          </cell>
          <cell r="K73">
            <v>0</v>
          </cell>
          <cell r="L73">
            <v>0</v>
          </cell>
          <cell r="M73">
            <v>0</v>
          </cell>
          <cell r="N73">
            <v>0</v>
          </cell>
          <cell r="O73">
            <v>0</v>
          </cell>
          <cell r="P73">
            <v>0</v>
          </cell>
          <cell r="Q73">
            <v>0</v>
          </cell>
        </row>
        <row r="74">
          <cell r="A74">
            <v>28</v>
          </cell>
          <cell r="B74" t="str">
            <v>31 ـ 11</v>
          </cell>
          <cell r="C74" t="str">
            <v>2017/01/02</v>
          </cell>
          <cell r="D74" t="str">
            <v>مشكوك</v>
          </cell>
          <cell r="E74" t="str">
            <v>مرتـب شهـر جانفـي 2017 ( صنف المستخدمين موظفين مختلف )</v>
          </cell>
          <cell r="F74">
            <v>1086946.3899999999</v>
          </cell>
          <cell r="G74">
            <v>1699605.42</v>
          </cell>
          <cell r="H74">
            <v>1699305.42</v>
          </cell>
          <cell r="I74">
            <v>300</v>
          </cell>
          <cell r="J74">
            <v>0</v>
          </cell>
          <cell r="K74">
            <v>0</v>
          </cell>
          <cell r="L74">
            <v>0</v>
          </cell>
          <cell r="M74">
            <v>0</v>
          </cell>
          <cell r="N74">
            <v>0</v>
          </cell>
          <cell r="O74">
            <v>0</v>
          </cell>
          <cell r="P74">
            <v>0</v>
          </cell>
          <cell r="Q74">
            <v>0</v>
          </cell>
        </row>
        <row r="75">
          <cell r="A75">
            <v>28</v>
          </cell>
          <cell r="B75" t="str">
            <v>31 ـ 12</v>
          </cell>
          <cell r="C75" t="str">
            <v>2017/01/02</v>
          </cell>
          <cell r="D75" t="str">
            <v>مشكوك</v>
          </cell>
          <cell r="E75" t="str">
            <v>مرتـب شهـر جانفـي 2017 ( صنف المستخدمين موظفين مختلف )</v>
          </cell>
          <cell r="F75">
            <v>574590.28</v>
          </cell>
          <cell r="G75">
            <v>0</v>
          </cell>
          <cell r="H75">
            <v>0</v>
          </cell>
          <cell r="J75">
            <v>0</v>
          </cell>
          <cell r="K75">
            <v>0</v>
          </cell>
          <cell r="L75">
            <v>0</v>
          </cell>
          <cell r="M75">
            <v>0</v>
          </cell>
          <cell r="N75">
            <v>0</v>
          </cell>
          <cell r="O75">
            <v>0</v>
          </cell>
          <cell r="P75">
            <v>0</v>
          </cell>
          <cell r="Q75">
            <v>0</v>
          </cell>
        </row>
        <row r="76">
          <cell r="A76">
            <v>28</v>
          </cell>
          <cell r="B76" t="str">
            <v>33 ـ 11</v>
          </cell>
          <cell r="C76" t="str">
            <v>2017/01/02</v>
          </cell>
          <cell r="D76" t="str">
            <v>مشكوك</v>
          </cell>
          <cell r="E76" t="str">
            <v>مرتـب شهـر جانفـي 2017 ( صنف المستخدمين موظفين مختلف )</v>
          </cell>
          <cell r="F76">
            <v>37768.75</v>
          </cell>
          <cell r="G76">
            <v>0</v>
          </cell>
          <cell r="H76">
            <v>0</v>
          </cell>
          <cell r="J76">
            <v>0</v>
          </cell>
          <cell r="K76">
            <v>0</v>
          </cell>
          <cell r="L76">
            <v>0</v>
          </cell>
          <cell r="M76">
            <v>0</v>
          </cell>
          <cell r="N76">
            <v>0</v>
          </cell>
          <cell r="O76">
            <v>0</v>
          </cell>
          <cell r="P76">
            <v>0</v>
          </cell>
          <cell r="Q76">
            <v>0</v>
          </cell>
        </row>
        <row r="77">
          <cell r="A77">
            <v>29</v>
          </cell>
          <cell r="B77" t="str">
            <v>31 ـ 11</v>
          </cell>
          <cell r="C77" t="str">
            <v>2017/01/02</v>
          </cell>
          <cell r="D77" t="str">
            <v>مشكوك</v>
          </cell>
          <cell r="E77" t="str">
            <v>مرتـب شهـر جانفـي 2017 ( صنف المستخدمين موظفين مختلف )</v>
          </cell>
          <cell r="F77">
            <v>1381723.32</v>
          </cell>
          <cell r="G77">
            <v>2242268.7400000002</v>
          </cell>
          <cell r="H77">
            <v>2185355.41</v>
          </cell>
          <cell r="I77">
            <v>56913.330000000075</v>
          </cell>
          <cell r="J77">
            <v>0</v>
          </cell>
          <cell r="K77">
            <v>0</v>
          </cell>
          <cell r="L77">
            <v>0</v>
          </cell>
          <cell r="M77">
            <v>0</v>
          </cell>
          <cell r="N77">
            <v>0</v>
          </cell>
          <cell r="O77">
            <v>0</v>
          </cell>
          <cell r="P77">
            <v>0</v>
          </cell>
          <cell r="Q77">
            <v>0</v>
          </cell>
        </row>
        <row r="78">
          <cell r="A78">
            <v>29</v>
          </cell>
          <cell r="B78" t="str">
            <v>31 ـ 12</v>
          </cell>
          <cell r="C78" t="str">
            <v>2017/01/02</v>
          </cell>
          <cell r="D78" t="str">
            <v>مشكوك</v>
          </cell>
          <cell r="E78" t="str">
            <v>مرتـب شهـر جانفـي 2017 ( صنف المستخدمين موظفين مختلف )</v>
          </cell>
          <cell r="F78">
            <v>745650.84</v>
          </cell>
          <cell r="G78">
            <v>0</v>
          </cell>
          <cell r="H78">
            <v>0</v>
          </cell>
          <cell r="J78">
            <v>0</v>
          </cell>
          <cell r="K78">
            <v>0</v>
          </cell>
          <cell r="L78">
            <v>0</v>
          </cell>
          <cell r="M78">
            <v>0</v>
          </cell>
          <cell r="N78">
            <v>0</v>
          </cell>
          <cell r="O78">
            <v>0</v>
          </cell>
          <cell r="P78">
            <v>0</v>
          </cell>
          <cell r="Q78">
            <v>0</v>
          </cell>
        </row>
        <row r="79">
          <cell r="A79">
            <v>29</v>
          </cell>
          <cell r="B79" t="str">
            <v>33 ـ 11</v>
          </cell>
          <cell r="C79" t="str">
            <v>2017/01/02</v>
          </cell>
          <cell r="D79" t="str">
            <v>مشكوك</v>
          </cell>
          <cell r="E79" t="str">
            <v>مرتـب شهـر جانفـي 2017 ( صنف المستخدمين موظفين مختلف )</v>
          </cell>
          <cell r="F79">
            <v>57981.25</v>
          </cell>
          <cell r="G79">
            <v>0</v>
          </cell>
          <cell r="H79">
            <v>0</v>
          </cell>
          <cell r="J79">
            <v>0</v>
          </cell>
          <cell r="K79">
            <v>0</v>
          </cell>
          <cell r="L79">
            <v>0</v>
          </cell>
          <cell r="M79">
            <v>0</v>
          </cell>
          <cell r="N79">
            <v>0</v>
          </cell>
          <cell r="O79">
            <v>0</v>
          </cell>
          <cell r="P79">
            <v>0</v>
          </cell>
          <cell r="Q79">
            <v>0</v>
          </cell>
        </row>
        <row r="80">
          <cell r="A80">
            <v>30</v>
          </cell>
          <cell r="B80" t="str">
            <v>31 ـ 11</v>
          </cell>
          <cell r="C80" t="str">
            <v>2017/01/02</v>
          </cell>
          <cell r="D80" t="str">
            <v>جانفـي</v>
          </cell>
          <cell r="E80" t="str">
            <v>مرتـب شهـر جانفـي 2017 ( صنف المستخدمين موظفين مختلف )</v>
          </cell>
          <cell r="F80">
            <v>81450</v>
          </cell>
          <cell r="G80">
            <v>0</v>
          </cell>
          <cell r="H80">
            <v>0</v>
          </cell>
          <cell r="J80">
            <v>0</v>
          </cell>
          <cell r="K80">
            <v>0</v>
          </cell>
          <cell r="L80">
            <v>0</v>
          </cell>
          <cell r="M80">
            <v>0</v>
          </cell>
          <cell r="N80">
            <v>0</v>
          </cell>
          <cell r="O80">
            <v>0</v>
          </cell>
          <cell r="P80">
            <v>0</v>
          </cell>
          <cell r="Q80">
            <v>0</v>
          </cell>
        </row>
        <row r="81">
          <cell r="A81">
            <v>30</v>
          </cell>
          <cell r="B81" t="str">
            <v>31 ـ 12</v>
          </cell>
          <cell r="C81" t="str">
            <v>2017/01/02</v>
          </cell>
          <cell r="D81" t="str">
            <v>جانفـي</v>
          </cell>
          <cell r="E81" t="str">
            <v>مرتـب شهـر جانفـي 2017 ( صنف المستخدمين موظفين مختلف )</v>
          </cell>
          <cell r="F81">
            <v>40529.160000000003</v>
          </cell>
          <cell r="G81">
            <v>0</v>
          </cell>
          <cell r="H81">
            <v>0</v>
          </cell>
          <cell r="J81">
            <v>0</v>
          </cell>
          <cell r="K81">
            <v>0</v>
          </cell>
          <cell r="L81">
            <v>0</v>
          </cell>
          <cell r="M81">
            <v>0</v>
          </cell>
          <cell r="N81">
            <v>0</v>
          </cell>
          <cell r="O81">
            <v>0</v>
          </cell>
          <cell r="P81">
            <v>0</v>
          </cell>
          <cell r="Q81">
            <v>0</v>
          </cell>
        </row>
        <row r="82">
          <cell r="A82">
            <v>30</v>
          </cell>
          <cell r="B82" t="str">
            <v>33 ـ 11</v>
          </cell>
          <cell r="C82" t="str">
            <v>2017/01/02</v>
          </cell>
          <cell r="D82" t="str">
            <v>جانفـي</v>
          </cell>
          <cell r="E82" t="str">
            <v>مرتـب شهـر جانفـي 2017 ( صنف المستخدمين موظفين مختلف )</v>
          </cell>
          <cell r="F82">
            <v>2333.75</v>
          </cell>
          <cell r="G82">
            <v>0</v>
          </cell>
          <cell r="H82">
            <v>0</v>
          </cell>
          <cell r="J82">
            <v>0</v>
          </cell>
          <cell r="K82">
            <v>0</v>
          </cell>
          <cell r="L82">
            <v>0</v>
          </cell>
          <cell r="M82">
            <v>0</v>
          </cell>
          <cell r="N82">
            <v>0</v>
          </cell>
          <cell r="O82">
            <v>0</v>
          </cell>
          <cell r="P82">
            <v>0</v>
          </cell>
          <cell r="Q82">
            <v>0</v>
          </cell>
        </row>
        <row r="83">
          <cell r="A83">
            <v>31</v>
          </cell>
          <cell r="B83" t="str">
            <v>31 ـ 11</v>
          </cell>
          <cell r="C83" t="str">
            <v>2017/01/02</v>
          </cell>
          <cell r="D83" t="str">
            <v>مشكوك</v>
          </cell>
          <cell r="E83" t="str">
            <v>مرتـب شهـر جانفـي 2017 ( صنف المستخدمين موظفين مختلف )</v>
          </cell>
          <cell r="F83">
            <v>4542542.53</v>
          </cell>
          <cell r="G83">
            <v>7798526.2999999998</v>
          </cell>
          <cell r="H83">
            <v>7752882.5500000007</v>
          </cell>
          <cell r="I83">
            <v>45643.749999999069</v>
          </cell>
          <cell r="J83">
            <v>0</v>
          </cell>
          <cell r="K83">
            <v>0</v>
          </cell>
          <cell r="L83">
            <v>0</v>
          </cell>
          <cell r="M83">
            <v>0</v>
          </cell>
          <cell r="N83">
            <v>0</v>
          </cell>
          <cell r="O83">
            <v>0</v>
          </cell>
          <cell r="P83">
            <v>0</v>
          </cell>
          <cell r="Q83">
            <v>0</v>
          </cell>
        </row>
        <row r="84">
          <cell r="A84">
            <v>31</v>
          </cell>
          <cell r="B84" t="str">
            <v>31 ـ 12</v>
          </cell>
          <cell r="C84" t="str">
            <v>2017/01/02</v>
          </cell>
          <cell r="D84" t="str">
            <v>مشكوك</v>
          </cell>
          <cell r="E84" t="str">
            <v>مرتـب شهـر جانفـي 2017 ( صنف المستخدمين موظفين مختلف )</v>
          </cell>
          <cell r="F84">
            <v>3063189.02</v>
          </cell>
          <cell r="G84">
            <v>0</v>
          </cell>
          <cell r="H84">
            <v>0</v>
          </cell>
          <cell r="I84">
            <v>0</v>
          </cell>
          <cell r="J84">
            <v>0</v>
          </cell>
          <cell r="K84">
            <v>0</v>
          </cell>
          <cell r="L84">
            <v>0</v>
          </cell>
          <cell r="M84">
            <v>0</v>
          </cell>
          <cell r="N84">
            <v>0</v>
          </cell>
          <cell r="O84">
            <v>0</v>
          </cell>
          <cell r="P84">
            <v>0</v>
          </cell>
          <cell r="Q84">
            <v>0</v>
          </cell>
        </row>
        <row r="85">
          <cell r="A85">
            <v>31</v>
          </cell>
          <cell r="B85" t="str">
            <v>33 ـ 11</v>
          </cell>
          <cell r="C85" t="str">
            <v>2017/01/02</v>
          </cell>
          <cell r="D85" t="str">
            <v>مشكوك</v>
          </cell>
          <cell r="E85" t="str">
            <v>مرتـب شهـر جانفـي 2017 ( صنف المستخدمين موظفين مختلف )</v>
          </cell>
          <cell r="F85">
            <v>147151</v>
          </cell>
          <cell r="G85">
            <v>0</v>
          </cell>
          <cell r="H85">
            <v>0</v>
          </cell>
          <cell r="I85">
            <v>0</v>
          </cell>
          <cell r="J85">
            <v>0</v>
          </cell>
          <cell r="K85">
            <v>0</v>
          </cell>
          <cell r="L85">
            <v>0</v>
          </cell>
          <cell r="M85">
            <v>0</v>
          </cell>
          <cell r="N85">
            <v>0</v>
          </cell>
          <cell r="O85">
            <v>0</v>
          </cell>
          <cell r="P85">
            <v>0</v>
          </cell>
          <cell r="Q85">
            <v>0</v>
          </cell>
        </row>
        <row r="86">
          <cell r="A86">
            <v>32</v>
          </cell>
          <cell r="B86" t="str">
            <v>31 ـ 11</v>
          </cell>
          <cell r="C86" t="str">
            <v>2017/01/02</v>
          </cell>
          <cell r="D86" t="str">
            <v>جانفـي</v>
          </cell>
          <cell r="E86" t="str">
            <v>مرتـب شهـر جانفـي 2017 ( صنف المستخدمين موظفين مختلف )</v>
          </cell>
          <cell r="F86">
            <v>242895.16</v>
          </cell>
          <cell r="G86">
            <v>0</v>
          </cell>
          <cell r="H86">
            <v>0</v>
          </cell>
          <cell r="I86">
            <v>0</v>
          </cell>
          <cell r="J86">
            <v>0</v>
          </cell>
          <cell r="K86">
            <v>0</v>
          </cell>
          <cell r="L86">
            <v>0</v>
          </cell>
          <cell r="M86">
            <v>0</v>
          </cell>
          <cell r="N86">
            <v>0</v>
          </cell>
          <cell r="O86">
            <v>0</v>
          </cell>
          <cell r="P86">
            <v>0</v>
          </cell>
          <cell r="Q86">
            <v>0</v>
          </cell>
        </row>
        <row r="87">
          <cell r="A87">
            <v>32</v>
          </cell>
          <cell r="B87" t="str">
            <v>31 ـ 12</v>
          </cell>
          <cell r="C87" t="str">
            <v>2017/01/02</v>
          </cell>
          <cell r="D87" t="str">
            <v>جانفـي</v>
          </cell>
          <cell r="E87" t="str">
            <v>مرتـب شهـر جانفـي 2017 ( صنف المستخدمين موظفين مختلف )</v>
          </cell>
          <cell r="F87">
            <v>118295.14</v>
          </cell>
          <cell r="G87">
            <v>0</v>
          </cell>
          <cell r="H87">
            <v>0</v>
          </cell>
          <cell r="I87">
            <v>0</v>
          </cell>
          <cell r="J87">
            <v>0</v>
          </cell>
          <cell r="K87">
            <v>0</v>
          </cell>
          <cell r="L87">
            <v>0</v>
          </cell>
          <cell r="M87">
            <v>0</v>
          </cell>
          <cell r="N87">
            <v>0</v>
          </cell>
          <cell r="O87">
            <v>0</v>
          </cell>
          <cell r="P87">
            <v>0</v>
          </cell>
          <cell r="Q87">
            <v>0</v>
          </cell>
        </row>
        <row r="88">
          <cell r="A88">
            <v>32</v>
          </cell>
          <cell r="B88" t="str">
            <v>33 ـ 11</v>
          </cell>
          <cell r="C88" t="str">
            <v>2017/01/02</v>
          </cell>
          <cell r="D88" t="str">
            <v>جانفـي</v>
          </cell>
          <cell r="E88" t="str">
            <v>مرتـب شهـر جانفـي 2017 ( صنف المستخدمين موظفين مختلف )</v>
          </cell>
          <cell r="F88">
            <v>5500</v>
          </cell>
          <cell r="G88">
            <v>0</v>
          </cell>
          <cell r="H88">
            <v>0</v>
          </cell>
          <cell r="I88">
            <v>0</v>
          </cell>
          <cell r="J88">
            <v>0</v>
          </cell>
          <cell r="K88">
            <v>0</v>
          </cell>
          <cell r="L88">
            <v>0</v>
          </cell>
          <cell r="M88">
            <v>0</v>
          </cell>
          <cell r="N88">
            <v>0</v>
          </cell>
          <cell r="O88">
            <v>0</v>
          </cell>
          <cell r="P88">
            <v>0</v>
          </cell>
          <cell r="Q88">
            <v>0</v>
          </cell>
        </row>
        <row r="89">
          <cell r="A89">
            <v>33</v>
          </cell>
          <cell r="B89" t="str">
            <v>31 ـ 11</v>
          </cell>
          <cell r="C89" t="str">
            <v>2017/01/02</v>
          </cell>
          <cell r="D89" t="str">
            <v>جانفـي</v>
          </cell>
          <cell r="E89" t="str">
            <v>مرتـب شهـر جانفـي 2017 ( صنف المستخدمين موظفين مختلف )</v>
          </cell>
          <cell r="F89">
            <v>1291449.1200000001</v>
          </cell>
          <cell r="G89">
            <v>0</v>
          </cell>
          <cell r="H89">
            <v>0</v>
          </cell>
          <cell r="I89">
            <v>0</v>
          </cell>
          <cell r="J89">
            <v>0</v>
          </cell>
          <cell r="K89">
            <v>0</v>
          </cell>
          <cell r="L89">
            <v>0</v>
          </cell>
          <cell r="M89">
            <v>0</v>
          </cell>
          <cell r="N89">
            <v>0</v>
          </cell>
          <cell r="O89">
            <v>0</v>
          </cell>
          <cell r="P89">
            <v>0</v>
          </cell>
          <cell r="Q89">
            <v>0</v>
          </cell>
        </row>
        <row r="90">
          <cell r="A90">
            <v>33</v>
          </cell>
          <cell r="B90" t="str">
            <v>31 ـ 12</v>
          </cell>
          <cell r="C90" t="str">
            <v>2017/01/02</v>
          </cell>
          <cell r="D90" t="str">
            <v>جانفـي</v>
          </cell>
          <cell r="E90" t="str">
            <v>مرتـب شهـر جانفـي 2017 ( صنف المستخدمين موظفين مختلف )</v>
          </cell>
          <cell r="F90">
            <v>1349452.35</v>
          </cell>
          <cell r="G90">
            <v>0</v>
          </cell>
          <cell r="H90">
            <v>0</v>
          </cell>
          <cell r="I90">
            <v>0</v>
          </cell>
          <cell r="J90">
            <v>0</v>
          </cell>
          <cell r="K90">
            <v>0</v>
          </cell>
          <cell r="L90">
            <v>0</v>
          </cell>
          <cell r="M90">
            <v>0</v>
          </cell>
          <cell r="N90">
            <v>0</v>
          </cell>
          <cell r="O90">
            <v>0</v>
          </cell>
          <cell r="P90">
            <v>0</v>
          </cell>
          <cell r="Q90">
            <v>0</v>
          </cell>
        </row>
        <row r="91">
          <cell r="A91">
            <v>33</v>
          </cell>
          <cell r="B91" t="str">
            <v>33 ـ 11</v>
          </cell>
          <cell r="C91" t="str">
            <v>2017/01/02</v>
          </cell>
          <cell r="D91" t="str">
            <v>جانفـي</v>
          </cell>
          <cell r="E91" t="str">
            <v>مرتـب شهـر جانفـي 2017 ( صنف المستخدمين موظفين مختلف )</v>
          </cell>
          <cell r="F91">
            <v>24802.5</v>
          </cell>
          <cell r="G91">
            <v>0</v>
          </cell>
          <cell r="H91">
            <v>0</v>
          </cell>
          <cell r="I91">
            <v>0</v>
          </cell>
          <cell r="J91">
            <v>0</v>
          </cell>
          <cell r="K91">
            <v>0</v>
          </cell>
          <cell r="L91">
            <v>0</v>
          </cell>
          <cell r="M91">
            <v>0</v>
          </cell>
          <cell r="N91">
            <v>0</v>
          </cell>
          <cell r="O91">
            <v>0</v>
          </cell>
          <cell r="P91">
            <v>0</v>
          </cell>
          <cell r="Q91">
            <v>0</v>
          </cell>
        </row>
        <row r="92">
          <cell r="A92">
            <v>34</v>
          </cell>
          <cell r="B92" t="str">
            <v>31 ـ 11</v>
          </cell>
          <cell r="C92" t="str">
            <v>2017/01/02</v>
          </cell>
          <cell r="D92" t="str">
            <v>جانفـي</v>
          </cell>
          <cell r="E92" t="str">
            <v>مرتـب شهـر جانفـي 2017 ( صنف المستخدمين موظفين مختلف )</v>
          </cell>
          <cell r="F92">
            <v>21150</v>
          </cell>
          <cell r="G92">
            <v>0</v>
          </cell>
          <cell r="H92">
            <v>0</v>
          </cell>
          <cell r="I92">
            <v>0</v>
          </cell>
          <cell r="J92">
            <v>0</v>
          </cell>
          <cell r="K92">
            <v>0</v>
          </cell>
          <cell r="L92">
            <v>0</v>
          </cell>
          <cell r="M92">
            <v>0</v>
          </cell>
          <cell r="N92">
            <v>0</v>
          </cell>
          <cell r="O92">
            <v>0</v>
          </cell>
          <cell r="P92">
            <v>0</v>
          </cell>
          <cell r="Q92">
            <v>0</v>
          </cell>
        </row>
        <row r="93">
          <cell r="A93">
            <v>34</v>
          </cell>
          <cell r="B93" t="str">
            <v>31 ـ 12</v>
          </cell>
          <cell r="C93" t="str">
            <v>2017/01/02</v>
          </cell>
          <cell r="D93" t="str">
            <v>جانفـي</v>
          </cell>
          <cell r="E93" t="str">
            <v>مرتـب شهـر جانفـي 2017 ( صنف المستخدمين موظفين مختلف )</v>
          </cell>
          <cell r="F93">
            <v>11235.83</v>
          </cell>
          <cell r="G93">
            <v>0</v>
          </cell>
          <cell r="H93">
            <v>0</v>
          </cell>
          <cell r="I93">
            <v>0</v>
          </cell>
          <cell r="J93">
            <v>0</v>
          </cell>
          <cell r="K93">
            <v>0</v>
          </cell>
          <cell r="L93">
            <v>0</v>
          </cell>
          <cell r="M93">
            <v>0</v>
          </cell>
          <cell r="N93">
            <v>0</v>
          </cell>
          <cell r="O93">
            <v>0</v>
          </cell>
          <cell r="P93">
            <v>0</v>
          </cell>
          <cell r="Q93">
            <v>0</v>
          </cell>
        </row>
        <row r="94">
          <cell r="A94">
            <v>34</v>
          </cell>
          <cell r="B94" t="str">
            <v>33 ـ 11</v>
          </cell>
          <cell r="C94" t="str">
            <v>2017/01/02</v>
          </cell>
          <cell r="D94" t="str">
            <v>جانفـي</v>
          </cell>
          <cell r="E94" t="str">
            <v>مرتـب شهـر جانفـي 2017 ( صنف المستخدمين موظفين مختلف )</v>
          </cell>
          <cell r="F94">
            <v>1722.5</v>
          </cell>
          <cell r="G94">
            <v>0</v>
          </cell>
          <cell r="H94">
            <v>0</v>
          </cell>
          <cell r="I94">
            <v>0</v>
          </cell>
          <cell r="J94">
            <v>0</v>
          </cell>
          <cell r="K94">
            <v>0</v>
          </cell>
          <cell r="L94">
            <v>0</v>
          </cell>
          <cell r="M94">
            <v>0</v>
          </cell>
          <cell r="N94">
            <v>0</v>
          </cell>
          <cell r="O94">
            <v>0</v>
          </cell>
          <cell r="P94">
            <v>0</v>
          </cell>
          <cell r="Q94">
            <v>0</v>
          </cell>
        </row>
        <row r="95">
          <cell r="A95">
            <v>35</v>
          </cell>
          <cell r="B95" t="str">
            <v>31 ـ 11</v>
          </cell>
          <cell r="C95" t="str">
            <v>2017/01/02</v>
          </cell>
          <cell r="D95" t="str">
            <v>جانفـي</v>
          </cell>
          <cell r="E95" t="str">
            <v>مرتـب شهـر جانفـي 2017 ( صنف المستخدمين موظفين مختلف )</v>
          </cell>
          <cell r="F95">
            <v>214875</v>
          </cell>
          <cell r="G95">
            <v>0</v>
          </cell>
          <cell r="H95">
            <v>0</v>
          </cell>
          <cell r="I95">
            <v>0</v>
          </cell>
          <cell r="J95">
            <v>0</v>
          </cell>
          <cell r="K95">
            <v>0</v>
          </cell>
          <cell r="L95">
            <v>0</v>
          </cell>
          <cell r="M95">
            <v>0</v>
          </cell>
          <cell r="N95">
            <v>0</v>
          </cell>
          <cell r="O95">
            <v>0</v>
          </cell>
          <cell r="P95">
            <v>0</v>
          </cell>
          <cell r="Q95">
            <v>0</v>
          </cell>
        </row>
        <row r="96">
          <cell r="A96">
            <v>35</v>
          </cell>
          <cell r="B96" t="str">
            <v>31 ـ 12</v>
          </cell>
          <cell r="C96" t="str">
            <v>2017/01/02</v>
          </cell>
          <cell r="D96" t="str">
            <v>جانفـي</v>
          </cell>
          <cell r="E96" t="str">
            <v>مرتـب شهـر جانفـي 2017 ( صنف المستخدمين موظفين مختلف )</v>
          </cell>
          <cell r="F96">
            <v>115570.8</v>
          </cell>
          <cell r="G96">
            <v>0</v>
          </cell>
          <cell r="H96">
            <v>0</v>
          </cell>
          <cell r="I96">
            <v>0</v>
          </cell>
          <cell r="J96">
            <v>0</v>
          </cell>
          <cell r="K96">
            <v>0</v>
          </cell>
          <cell r="L96">
            <v>0</v>
          </cell>
          <cell r="M96">
            <v>0</v>
          </cell>
          <cell r="N96">
            <v>0</v>
          </cell>
          <cell r="O96">
            <v>0</v>
          </cell>
          <cell r="P96">
            <v>0</v>
          </cell>
          <cell r="Q96">
            <v>0</v>
          </cell>
        </row>
        <row r="97">
          <cell r="A97">
            <v>35</v>
          </cell>
          <cell r="B97" t="str">
            <v>33 ـ 11</v>
          </cell>
          <cell r="C97" t="str">
            <v>2017/01/02</v>
          </cell>
          <cell r="D97" t="str">
            <v>جانفـي</v>
          </cell>
          <cell r="E97" t="str">
            <v>مرتـب شهـر جانفـي 2017 ( صنف المستخدمين موظفين مختلف )</v>
          </cell>
          <cell r="F97">
            <v>7733.75</v>
          </cell>
          <cell r="G97">
            <v>0</v>
          </cell>
          <cell r="H97">
            <v>0</v>
          </cell>
          <cell r="I97">
            <v>0</v>
          </cell>
          <cell r="J97">
            <v>0</v>
          </cell>
          <cell r="K97">
            <v>0</v>
          </cell>
          <cell r="L97">
            <v>0</v>
          </cell>
          <cell r="M97">
            <v>0</v>
          </cell>
          <cell r="N97">
            <v>0</v>
          </cell>
          <cell r="O97">
            <v>0</v>
          </cell>
          <cell r="P97">
            <v>0</v>
          </cell>
          <cell r="Q97">
            <v>0</v>
          </cell>
        </row>
        <row r="98">
          <cell r="A98">
            <v>36</v>
          </cell>
          <cell r="B98" t="str">
            <v>31 ـ 11</v>
          </cell>
          <cell r="C98" t="str">
            <v>2017/01/02</v>
          </cell>
          <cell r="D98" t="str">
            <v>جانفـي</v>
          </cell>
          <cell r="E98" t="str">
            <v>مرتـب شهـر جانفـي 2017 ( صنف المستخدمين الوظائف العليا )</v>
          </cell>
          <cell r="F98">
            <v>63745</v>
          </cell>
          <cell r="G98">
            <v>0</v>
          </cell>
          <cell r="H98">
            <v>0</v>
          </cell>
          <cell r="I98">
            <v>0</v>
          </cell>
          <cell r="J98">
            <v>0</v>
          </cell>
          <cell r="K98">
            <v>0</v>
          </cell>
          <cell r="L98">
            <v>0</v>
          </cell>
          <cell r="M98">
            <v>0</v>
          </cell>
          <cell r="N98">
            <v>0</v>
          </cell>
          <cell r="O98">
            <v>0</v>
          </cell>
          <cell r="P98">
            <v>0</v>
          </cell>
          <cell r="Q98">
            <v>0</v>
          </cell>
        </row>
        <row r="99">
          <cell r="A99">
            <v>36</v>
          </cell>
          <cell r="B99" t="str">
            <v>31 ـ 12</v>
          </cell>
          <cell r="C99" t="str">
            <v>2017/01/02</v>
          </cell>
          <cell r="D99" t="str">
            <v>جانفـي</v>
          </cell>
          <cell r="E99" t="str">
            <v>مرتـب شهـر جانفـي 2017 ( صنف المستخدمين الوظائف العليا )</v>
          </cell>
          <cell r="F99">
            <v>79714.58</v>
          </cell>
          <cell r="G99">
            <v>0</v>
          </cell>
          <cell r="H99">
            <v>0</v>
          </cell>
          <cell r="I99">
            <v>0</v>
          </cell>
          <cell r="J99">
            <v>0</v>
          </cell>
          <cell r="K99">
            <v>0</v>
          </cell>
          <cell r="L99">
            <v>0</v>
          </cell>
          <cell r="M99">
            <v>0</v>
          </cell>
          <cell r="N99">
            <v>0</v>
          </cell>
          <cell r="O99">
            <v>0</v>
          </cell>
          <cell r="P99">
            <v>0</v>
          </cell>
          <cell r="Q99">
            <v>0</v>
          </cell>
        </row>
        <row r="100">
          <cell r="A100">
            <v>36</v>
          </cell>
          <cell r="B100" t="str">
            <v>33 ـ 11</v>
          </cell>
          <cell r="C100" t="str">
            <v>2017/01/02</v>
          </cell>
          <cell r="D100" t="str">
            <v>جانفـي</v>
          </cell>
          <cell r="E100" t="str">
            <v>مرتـب شهـر جانفـي 2017 ( صنف المستخدمين الوظائف العليا )</v>
          </cell>
          <cell r="F100">
            <v>611.25</v>
          </cell>
          <cell r="G100">
            <v>0</v>
          </cell>
          <cell r="H100">
            <v>0</v>
          </cell>
          <cell r="I100">
            <v>0</v>
          </cell>
          <cell r="J100">
            <v>0</v>
          </cell>
          <cell r="K100">
            <v>0</v>
          </cell>
          <cell r="L100">
            <v>0</v>
          </cell>
          <cell r="M100">
            <v>0</v>
          </cell>
          <cell r="N100">
            <v>0</v>
          </cell>
          <cell r="O100">
            <v>0</v>
          </cell>
          <cell r="P100">
            <v>0</v>
          </cell>
          <cell r="Q100">
            <v>0</v>
          </cell>
        </row>
        <row r="101">
          <cell r="A101">
            <v>37</v>
          </cell>
          <cell r="B101" t="str">
            <v>33 ـ 13</v>
          </cell>
          <cell r="C101" t="str">
            <v>2017/01/02</v>
          </cell>
          <cell r="D101" t="str">
            <v>جانفـي</v>
          </cell>
          <cell r="E101">
            <v>0</v>
          </cell>
          <cell r="F101">
            <v>3839358.04</v>
          </cell>
          <cell r="G101">
            <v>0</v>
          </cell>
          <cell r="H101">
            <v>0</v>
          </cell>
          <cell r="I101">
            <v>0</v>
          </cell>
          <cell r="J101">
            <v>0</v>
          </cell>
          <cell r="K101">
            <v>0</v>
          </cell>
          <cell r="L101">
            <v>0</v>
          </cell>
          <cell r="M101">
            <v>0</v>
          </cell>
          <cell r="N101">
            <v>0</v>
          </cell>
          <cell r="O101">
            <v>0</v>
          </cell>
          <cell r="P101">
            <v>0</v>
          </cell>
          <cell r="Q101">
            <v>0</v>
          </cell>
        </row>
        <row r="102">
          <cell r="A102">
            <v>38</v>
          </cell>
          <cell r="B102" t="str">
            <v>32 ـ 12</v>
          </cell>
          <cell r="C102" t="str">
            <v>2017/01/02</v>
          </cell>
          <cell r="D102" t="str">
            <v>جانفـي</v>
          </cell>
          <cell r="E102" t="str">
            <v>مرتـب شهـر جانفـي 2017 ( صنف المستخدمين ضحايا الإرهاب )</v>
          </cell>
          <cell r="F102">
            <v>1624746.3</v>
          </cell>
          <cell r="G102">
            <v>0</v>
          </cell>
          <cell r="H102">
            <v>0</v>
          </cell>
          <cell r="I102">
            <v>0</v>
          </cell>
          <cell r="J102">
            <v>0</v>
          </cell>
          <cell r="K102">
            <v>0</v>
          </cell>
          <cell r="L102">
            <v>0</v>
          </cell>
          <cell r="M102">
            <v>0</v>
          </cell>
          <cell r="N102">
            <v>0</v>
          </cell>
          <cell r="O102">
            <v>0</v>
          </cell>
          <cell r="P102">
            <v>0</v>
          </cell>
          <cell r="Q102">
            <v>0</v>
          </cell>
        </row>
        <row r="103">
          <cell r="A103">
            <v>39</v>
          </cell>
          <cell r="B103" t="str">
            <v>32 ـ 12</v>
          </cell>
          <cell r="C103" t="str">
            <v>2017/01/02</v>
          </cell>
          <cell r="D103" t="str">
            <v>جانفـي</v>
          </cell>
          <cell r="E103" t="str">
            <v>مرتـب شهـر جانفـي 2017 ( صنف المستخدمين ضحايا الإرهاب )</v>
          </cell>
          <cell r="F103">
            <v>247812.37</v>
          </cell>
          <cell r="G103">
            <v>0</v>
          </cell>
          <cell r="H103">
            <v>0</v>
          </cell>
          <cell r="I103">
            <v>0</v>
          </cell>
          <cell r="J103">
            <v>0</v>
          </cell>
          <cell r="K103">
            <v>0</v>
          </cell>
          <cell r="L103">
            <v>0</v>
          </cell>
          <cell r="M103">
            <v>0</v>
          </cell>
          <cell r="N103">
            <v>0</v>
          </cell>
          <cell r="O103">
            <v>0</v>
          </cell>
          <cell r="P103">
            <v>0</v>
          </cell>
          <cell r="Q103">
            <v>0</v>
          </cell>
        </row>
        <row r="104">
          <cell r="A104">
            <v>40</v>
          </cell>
          <cell r="B104" t="str">
            <v>32 ـ 12</v>
          </cell>
          <cell r="C104" t="str">
            <v>2017/01/02</v>
          </cell>
          <cell r="D104" t="str">
            <v>جانفـي</v>
          </cell>
          <cell r="E104" t="str">
            <v>مرتـب شهـر جانفـي 2017 ( صنف المستخدمين ضحايا الإرهاب )</v>
          </cell>
          <cell r="F104">
            <v>46394.48</v>
          </cell>
          <cell r="G104">
            <v>0</v>
          </cell>
          <cell r="H104">
            <v>0</v>
          </cell>
          <cell r="I104">
            <v>0</v>
          </cell>
          <cell r="J104">
            <v>0</v>
          </cell>
          <cell r="K104">
            <v>0</v>
          </cell>
          <cell r="L104">
            <v>0</v>
          </cell>
          <cell r="M104">
            <v>0</v>
          </cell>
          <cell r="N104">
            <v>0</v>
          </cell>
          <cell r="O104">
            <v>0</v>
          </cell>
          <cell r="P104">
            <v>0</v>
          </cell>
          <cell r="Q104">
            <v>0</v>
          </cell>
        </row>
        <row r="105">
          <cell r="A105">
            <v>41</v>
          </cell>
          <cell r="B105" t="str">
            <v>31 ـ 11</v>
          </cell>
          <cell r="C105" t="str">
            <v>2017/01/02</v>
          </cell>
          <cell r="D105" t="str">
            <v>جانفـي</v>
          </cell>
          <cell r="E105" t="str">
            <v>مرتـب شهـر جانفـي 2017 ( صنف المستخدمين مهندسي وتقنيي الأسلاك المشتركة )</v>
          </cell>
          <cell r="F105">
            <v>28620</v>
          </cell>
          <cell r="G105">
            <v>0</v>
          </cell>
          <cell r="H105">
            <v>0</v>
          </cell>
          <cell r="I105">
            <v>0</v>
          </cell>
          <cell r="J105">
            <v>0</v>
          </cell>
          <cell r="K105">
            <v>0</v>
          </cell>
          <cell r="L105">
            <v>0</v>
          </cell>
          <cell r="M105">
            <v>0</v>
          </cell>
          <cell r="N105">
            <v>0</v>
          </cell>
          <cell r="O105">
            <v>0</v>
          </cell>
          <cell r="P105">
            <v>0</v>
          </cell>
          <cell r="Q105">
            <v>0</v>
          </cell>
        </row>
        <row r="106">
          <cell r="A106">
            <v>41</v>
          </cell>
          <cell r="B106" t="str">
            <v>31 ـ 12</v>
          </cell>
          <cell r="C106" t="str">
            <v>2017/01/02</v>
          </cell>
          <cell r="D106" t="str">
            <v>جانفـي</v>
          </cell>
          <cell r="E106" t="str">
            <v>مرتـب شهـر جانفـي 2017 ( صنف المستخدمين مهندسي وتقنيي الأسلاك المشتركة )</v>
          </cell>
          <cell r="F106">
            <v>15810</v>
          </cell>
          <cell r="G106">
            <v>0</v>
          </cell>
          <cell r="H106">
            <v>0</v>
          </cell>
          <cell r="I106">
            <v>0</v>
          </cell>
          <cell r="J106">
            <v>0</v>
          </cell>
          <cell r="K106">
            <v>0</v>
          </cell>
          <cell r="L106">
            <v>0</v>
          </cell>
          <cell r="M106">
            <v>0</v>
          </cell>
          <cell r="N106">
            <v>0</v>
          </cell>
          <cell r="O106">
            <v>0</v>
          </cell>
          <cell r="P106">
            <v>0</v>
          </cell>
          <cell r="Q106">
            <v>0</v>
          </cell>
        </row>
        <row r="107">
          <cell r="A107">
            <v>41</v>
          </cell>
          <cell r="B107" t="str">
            <v>33 ـ 11</v>
          </cell>
          <cell r="C107" t="str">
            <v>2017/01/02</v>
          </cell>
          <cell r="D107" t="str">
            <v>جانفـي</v>
          </cell>
          <cell r="E107" t="str">
            <v>مرتـب شهـر جانفـي 2017 ( صنف المستخدمين مهندسي وتقنيي الأسلاك المشتركة )</v>
          </cell>
          <cell r="F107">
            <v>1100</v>
          </cell>
          <cell r="G107">
            <v>45530</v>
          </cell>
          <cell r="H107">
            <v>0</v>
          </cell>
          <cell r="I107">
            <v>0</v>
          </cell>
          <cell r="J107">
            <v>0</v>
          </cell>
          <cell r="K107">
            <v>0</v>
          </cell>
          <cell r="L107">
            <v>0</v>
          </cell>
          <cell r="M107">
            <v>0</v>
          </cell>
          <cell r="N107">
            <v>0</v>
          </cell>
          <cell r="O107">
            <v>0</v>
          </cell>
          <cell r="P107">
            <v>0</v>
          </cell>
          <cell r="Q107">
            <v>0</v>
          </cell>
        </row>
        <row r="108">
          <cell r="A108">
            <v>42</v>
          </cell>
          <cell r="B108" t="str">
            <v>33 ـ 13</v>
          </cell>
          <cell r="C108" t="str">
            <v>2017/01/02</v>
          </cell>
          <cell r="D108" t="str">
            <v>جانفـي</v>
          </cell>
          <cell r="E108">
            <v>0</v>
          </cell>
          <cell r="F108">
            <v>11107.5</v>
          </cell>
          <cell r="G108">
            <v>0</v>
          </cell>
          <cell r="H108">
            <v>0</v>
          </cell>
          <cell r="I108">
            <v>0</v>
          </cell>
          <cell r="J108">
            <v>0</v>
          </cell>
          <cell r="K108">
            <v>0</v>
          </cell>
          <cell r="L108">
            <v>0</v>
          </cell>
          <cell r="M108">
            <v>0</v>
          </cell>
          <cell r="N108">
            <v>0</v>
          </cell>
          <cell r="O108">
            <v>0</v>
          </cell>
          <cell r="P108">
            <v>0</v>
          </cell>
          <cell r="Q108">
            <v>0</v>
          </cell>
        </row>
        <row r="109">
          <cell r="A109">
            <v>43</v>
          </cell>
          <cell r="B109" t="str">
            <v>31 ـ 11</v>
          </cell>
          <cell r="C109" t="str">
            <v>2017/02/01</v>
          </cell>
          <cell r="D109" t="str">
            <v>فيفـري</v>
          </cell>
          <cell r="E109" t="str">
            <v>مرتـب شهـر فيفـري 2017 ( صنف المستخدمين مهندسي وتقنيي الأسلاك التقنية )</v>
          </cell>
          <cell r="F109">
            <v>57240</v>
          </cell>
          <cell r="G109">
            <v>0</v>
          </cell>
          <cell r="H109">
            <v>0</v>
          </cell>
          <cell r="I109">
            <v>0</v>
          </cell>
          <cell r="J109">
            <v>0</v>
          </cell>
          <cell r="K109">
            <v>0</v>
          </cell>
          <cell r="L109">
            <v>0</v>
          </cell>
          <cell r="M109">
            <v>0</v>
          </cell>
          <cell r="N109">
            <v>0</v>
          </cell>
          <cell r="O109">
            <v>0</v>
          </cell>
          <cell r="P109">
            <v>0</v>
          </cell>
          <cell r="Q109">
            <v>0</v>
          </cell>
        </row>
        <row r="110">
          <cell r="A110">
            <v>43</v>
          </cell>
          <cell r="B110" t="str">
            <v>31 ـ 12</v>
          </cell>
          <cell r="C110" t="str">
            <v>2017/02/01</v>
          </cell>
          <cell r="D110" t="str">
            <v>فيفـري</v>
          </cell>
          <cell r="E110" t="str">
            <v>مرتـب شهـر فيفـري 2017 ( صنف المستخدمين مهندسي وتقنيي الأسلاك التقنية )</v>
          </cell>
          <cell r="F110">
            <v>37344</v>
          </cell>
          <cell r="G110">
            <v>0</v>
          </cell>
          <cell r="H110">
            <v>0</v>
          </cell>
          <cell r="I110">
            <v>0</v>
          </cell>
          <cell r="J110">
            <v>0</v>
          </cell>
          <cell r="K110">
            <v>0</v>
          </cell>
          <cell r="L110">
            <v>0</v>
          </cell>
          <cell r="M110">
            <v>0</v>
          </cell>
          <cell r="N110">
            <v>0</v>
          </cell>
          <cell r="O110">
            <v>0</v>
          </cell>
          <cell r="P110">
            <v>0</v>
          </cell>
          <cell r="Q110">
            <v>0</v>
          </cell>
        </row>
        <row r="111">
          <cell r="A111">
            <v>43</v>
          </cell>
          <cell r="B111" t="str">
            <v>33 ـ 11</v>
          </cell>
          <cell r="C111" t="str">
            <v>2017/02/01</v>
          </cell>
          <cell r="D111" t="str">
            <v>فيفـري</v>
          </cell>
          <cell r="E111" t="str">
            <v>مرتـب شهـر فيفـري 2017 ( صنف المستخدمين مهندسي وتقنيي الأسلاك التقنية )</v>
          </cell>
          <cell r="F111">
            <v>1500</v>
          </cell>
          <cell r="G111">
            <v>0</v>
          </cell>
          <cell r="H111">
            <v>0</v>
          </cell>
          <cell r="I111">
            <v>0</v>
          </cell>
          <cell r="J111">
            <v>0</v>
          </cell>
          <cell r="K111">
            <v>0</v>
          </cell>
          <cell r="L111">
            <v>0</v>
          </cell>
          <cell r="M111">
            <v>0</v>
          </cell>
          <cell r="N111">
            <v>0</v>
          </cell>
          <cell r="O111">
            <v>0</v>
          </cell>
          <cell r="P111">
            <v>0</v>
          </cell>
          <cell r="Q111">
            <v>0</v>
          </cell>
        </row>
        <row r="112">
          <cell r="A112">
            <v>44</v>
          </cell>
          <cell r="B112" t="str">
            <v>31 ـ 11</v>
          </cell>
          <cell r="C112" t="str">
            <v>2017/02/01</v>
          </cell>
          <cell r="D112" t="str">
            <v>فيفـري</v>
          </cell>
          <cell r="E112" t="str">
            <v>مرتـب شهـر فيفـري 2017 ( صنف المستخدمين مهندسي وتقنيي الأسلاك التقنية )</v>
          </cell>
          <cell r="F112">
            <v>2317050</v>
          </cell>
          <cell r="G112">
            <v>0</v>
          </cell>
          <cell r="H112">
            <v>0</v>
          </cell>
          <cell r="I112">
            <v>0</v>
          </cell>
          <cell r="J112">
            <v>0</v>
          </cell>
          <cell r="K112">
            <v>0</v>
          </cell>
          <cell r="L112">
            <v>0</v>
          </cell>
          <cell r="M112">
            <v>0</v>
          </cell>
          <cell r="N112">
            <v>0</v>
          </cell>
          <cell r="O112">
            <v>0</v>
          </cell>
          <cell r="P112">
            <v>0</v>
          </cell>
          <cell r="Q112">
            <v>0</v>
          </cell>
        </row>
        <row r="113">
          <cell r="A113">
            <v>44</v>
          </cell>
          <cell r="B113" t="str">
            <v>31 ـ 12</v>
          </cell>
          <cell r="C113" t="str">
            <v>2017/02/01</v>
          </cell>
          <cell r="D113" t="str">
            <v>فيفـري</v>
          </cell>
          <cell r="E113" t="str">
            <v>مرتـب شهـر فيفـري 2017 ( صنف المستخدمين مهندسي وتقنيي الأسلاك التقنية )</v>
          </cell>
          <cell r="F113">
            <v>1538699.12</v>
          </cell>
          <cell r="G113">
            <v>0</v>
          </cell>
          <cell r="H113">
            <v>0</v>
          </cell>
          <cell r="I113">
            <v>0</v>
          </cell>
          <cell r="J113">
            <v>0</v>
          </cell>
          <cell r="K113">
            <v>0</v>
          </cell>
          <cell r="L113">
            <v>0</v>
          </cell>
          <cell r="M113">
            <v>0</v>
          </cell>
          <cell r="N113">
            <v>0</v>
          </cell>
          <cell r="O113">
            <v>0</v>
          </cell>
          <cell r="P113">
            <v>0</v>
          </cell>
          <cell r="Q113">
            <v>0</v>
          </cell>
        </row>
        <row r="114">
          <cell r="A114">
            <v>44</v>
          </cell>
          <cell r="B114" t="str">
            <v>33 ـ 11</v>
          </cell>
          <cell r="C114" t="str">
            <v>2017/02/01</v>
          </cell>
          <cell r="D114" t="str">
            <v>فيفـري</v>
          </cell>
          <cell r="E114" t="str">
            <v>مرتـب شهـر فيفـري 2017 ( صنف المستخدمين مهندسي وتقنيي الأسلاك التقنية )</v>
          </cell>
          <cell r="F114">
            <v>62523.75</v>
          </cell>
          <cell r="G114">
            <v>0</v>
          </cell>
          <cell r="H114">
            <v>0</v>
          </cell>
          <cell r="I114">
            <v>0</v>
          </cell>
          <cell r="J114">
            <v>0</v>
          </cell>
          <cell r="K114">
            <v>0</v>
          </cell>
          <cell r="L114">
            <v>0</v>
          </cell>
          <cell r="M114">
            <v>0</v>
          </cell>
          <cell r="N114">
            <v>0</v>
          </cell>
          <cell r="O114">
            <v>0</v>
          </cell>
          <cell r="P114">
            <v>0</v>
          </cell>
          <cell r="Q114">
            <v>0</v>
          </cell>
        </row>
        <row r="115">
          <cell r="A115">
            <v>45</v>
          </cell>
          <cell r="B115" t="str">
            <v>31 ـ 11</v>
          </cell>
          <cell r="C115" t="str">
            <v>2017/02/01</v>
          </cell>
          <cell r="D115" t="str">
            <v>فيفـري</v>
          </cell>
          <cell r="E115" t="str">
            <v>مرتـب شهـر فيفـري 2017 ( صنف المستخدمين مهندسي الأسلاك المشتركة التقنية )</v>
          </cell>
          <cell r="F115">
            <v>173025</v>
          </cell>
          <cell r="G115">
            <v>0</v>
          </cell>
          <cell r="H115">
            <v>0</v>
          </cell>
          <cell r="I115">
            <v>0</v>
          </cell>
          <cell r="J115">
            <v>0</v>
          </cell>
          <cell r="K115">
            <v>0</v>
          </cell>
          <cell r="L115">
            <v>0</v>
          </cell>
          <cell r="M115">
            <v>0</v>
          </cell>
          <cell r="N115">
            <v>0</v>
          </cell>
          <cell r="O115">
            <v>0</v>
          </cell>
          <cell r="P115">
            <v>0</v>
          </cell>
          <cell r="Q115">
            <v>0</v>
          </cell>
        </row>
        <row r="116">
          <cell r="A116">
            <v>45</v>
          </cell>
          <cell r="B116" t="str">
            <v>31 ـ 12</v>
          </cell>
          <cell r="C116" t="str">
            <v>2017/02/01</v>
          </cell>
          <cell r="D116" t="str">
            <v>فيفـري</v>
          </cell>
          <cell r="E116" t="str">
            <v>مرتـب شهـر فيفـري 2017 ( صنف المستخدمين مهندسي الأسلاك المشتركة التقنية )</v>
          </cell>
          <cell r="F116">
            <v>108440.6</v>
          </cell>
          <cell r="G116">
            <v>0</v>
          </cell>
          <cell r="H116">
            <v>0</v>
          </cell>
          <cell r="I116">
            <v>0</v>
          </cell>
          <cell r="J116">
            <v>0</v>
          </cell>
          <cell r="K116">
            <v>0</v>
          </cell>
          <cell r="L116">
            <v>0</v>
          </cell>
          <cell r="M116">
            <v>0</v>
          </cell>
          <cell r="N116">
            <v>0</v>
          </cell>
          <cell r="O116">
            <v>0</v>
          </cell>
          <cell r="P116">
            <v>0</v>
          </cell>
          <cell r="Q116">
            <v>0</v>
          </cell>
        </row>
        <row r="117">
          <cell r="A117">
            <v>45</v>
          </cell>
          <cell r="B117" t="str">
            <v>33 ـ 11</v>
          </cell>
          <cell r="C117" t="str">
            <v>2017/02/01</v>
          </cell>
          <cell r="D117" t="str">
            <v>فيفـري</v>
          </cell>
          <cell r="E117" t="str">
            <v>مرتـب شهـر فيفـري 2017 ( صنف المستخدمين مهندسي الأسلاك المشتركة التقنية )</v>
          </cell>
          <cell r="F117">
            <v>5100</v>
          </cell>
          <cell r="G117">
            <v>0</v>
          </cell>
          <cell r="H117">
            <v>0</v>
          </cell>
          <cell r="I117">
            <v>0</v>
          </cell>
          <cell r="J117">
            <v>0</v>
          </cell>
          <cell r="K117">
            <v>0</v>
          </cell>
          <cell r="L117">
            <v>0</v>
          </cell>
          <cell r="M117">
            <v>0</v>
          </cell>
          <cell r="N117">
            <v>0</v>
          </cell>
          <cell r="O117">
            <v>0</v>
          </cell>
          <cell r="P117">
            <v>0</v>
          </cell>
          <cell r="Q117">
            <v>0</v>
          </cell>
        </row>
        <row r="118">
          <cell r="A118">
            <v>46</v>
          </cell>
          <cell r="B118" t="str">
            <v>31 ـ 11</v>
          </cell>
          <cell r="C118" t="str">
            <v>2017/02/01</v>
          </cell>
          <cell r="D118" t="str">
            <v>فيفـري</v>
          </cell>
          <cell r="E118" t="str">
            <v>مرتـب شهـر فيفـري 2017 ( صنف المستخدمين مهندسي الأسلاك المشتركة التقنية )</v>
          </cell>
          <cell r="F118">
            <v>451395</v>
          </cell>
          <cell r="G118">
            <v>0</v>
          </cell>
          <cell r="H118">
            <v>0</v>
          </cell>
          <cell r="I118">
            <v>0</v>
          </cell>
          <cell r="J118">
            <v>0</v>
          </cell>
          <cell r="K118">
            <v>0</v>
          </cell>
          <cell r="L118">
            <v>0</v>
          </cell>
          <cell r="M118">
            <v>0</v>
          </cell>
          <cell r="N118">
            <v>0</v>
          </cell>
          <cell r="O118">
            <v>0</v>
          </cell>
          <cell r="P118">
            <v>0</v>
          </cell>
          <cell r="Q118">
            <v>0</v>
          </cell>
        </row>
        <row r="119">
          <cell r="A119">
            <v>46</v>
          </cell>
          <cell r="B119" t="str">
            <v>31 ـ 12</v>
          </cell>
          <cell r="C119" t="str">
            <v>2017/02/01</v>
          </cell>
          <cell r="D119" t="str">
            <v>فيفـري</v>
          </cell>
          <cell r="E119" t="str">
            <v>مرتـب شهـر فيفـري 2017 ( صنف المستخدمين مهندسي الأسلاك المشتركة التقنية )</v>
          </cell>
          <cell r="F119">
            <v>283764.65999999997</v>
          </cell>
          <cell r="G119">
            <v>0</v>
          </cell>
          <cell r="H119">
            <v>0</v>
          </cell>
          <cell r="I119">
            <v>0</v>
          </cell>
          <cell r="J119">
            <v>0</v>
          </cell>
          <cell r="K119">
            <v>0</v>
          </cell>
          <cell r="L119">
            <v>0</v>
          </cell>
          <cell r="M119">
            <v>0</v>
          </cell>
          <cell r="N119">
            <v>0</v>
          </cell>
          <cell r="O119">
            <v>0</v>
          </cell>
          <cell r="P119">
            <v>0</v>
          </cell>
          <cell r="Q119">
            <v>0</v>
          </cell>
        </row>
        <row r="120">
          <cell r="A120">
            <v>46</v>
          </cell>
          <cell r="B120" t="str">
            <v>33 ـ 11</v>
          </cell>
          <cell r="C120" t="str">
            <v>2017/02/01</v>
          </cell>
          <cell r="D120" t="str">
            <v>فيفـري</v>
          </cell>
          <cell r="E120" t="str">
            <v>مرتـب شهـر فيفـري 2017 ( صنف المستخدمين مهندسي الأسلاك المشتركة التقنية )</v>
          </cell>
          <cell r="F120">
            <v>16111.25</v>
          </cell>
          <cell r="G120">
            <v>0</v>
          </cell>
          <cell r="H120">
            <v>0</v>
          </cell>
          <cell r="I120">
            <v>0</v>
          </cell>
          <cell r="J120">
            <v>0</v>
          </cell>
          <cell r="K120">
            <v>0</v>
          </cell>
          <cell r="L120">
            <v>0</v>
          </cell>
          <cell r="M120">
            <v>0</v>
          </cell>
          <cell r="N120">
            <v>0</v>
          </cell>
          <cell r="O120">
            <v>0</v>
          </cell>
          <cell r="P120">
            <v>0</v>
          </cell>
          <cell r="Q120">
            <v>0</v>
          </cell>
        </row>
        <row r="121">
          <cell r="A121">
            <v>47</v>
          </cell>
          <cell r="B121" t="str">
            <v>31 ـ 11</v>
          </cell>
          <cell r="C121" t="str">
            <v>2017/02/01</v>
          </cell>
          <cell r="D121" t="str">
            <v>فيفـري</v>
          </cell>
          <cell r="E121" t="str">
            <v>مرتـب شهـر فيفـري 2017 ( صنف المستخدمين مهندسي وتقنيي الأسلاك المشتركة )</v>
          </cell>
          <cell r="F121">
            <v>63765</v>
          </cell>
          <cell r="G121">
            <v>0</v>
          </cell>
          <cell r="H121">
            <v>0</v>
          </cell>
          <cell r="I121">
            <v>0</v>
          </cell>
          <cell r="J121">
            <v>0</v>
          </cell>
          <cell r="K121">
            <v>0</v>
          </cell>
          <cell r="L121">
            <v>0</v>
          </cell>
          <cell r="M121">
            <v>0</v>
          </cell>
          <cell r="N121">
            <v>0</v>
          </cell>
          <cell r="O121">
            <v>0</v>
          </cell>
          <cell r="P121">
            <v>0</v>
          </cell>
          <cell r="Q121">
            <v>0</v>
          </cell>
        </row>
        <row r="122">
          <cell r="A122">
            <v>47</v>
          </cell>
          <cell r="B122" t="str">
            <v>31 ـ 12</v>
          </cell>
          <cell r="C122" t="str">
            <v>2017/02/01</v>
          </cell>
          <cell r="D122" t="str">
            <v>فيفـري</v>
          </cell>
          <cell r="E122" t="str">
            <v>مرتـب شهـر فيفـري 2017 ( صنف المستخدمين مهندسي وتقنيي الأسلاك المشتركة )</v>
          </cell>
          <cell r="F122">
            <v>31620</v>
          </cell>
          <cell r="G122">
            <v>0</v>
          </cell>
          <cell r="H122">
            <v>0</v>
          </cell>
          <cell r="I122">
            <v>0</v>
          </cell>
          <cell r="J122">
            <v>0</v>
          </cell>
          <cell r="K122">
            <v>0</v>
          </cell>
          <cell r="L122">
            <v>0</v>
          </cell>
          <cell r="M122">
            <v>0</v>
          </cell>
          <cell r="N122">
            <v>0</v>
          </cell>
          <cell r="O122">
            <v>0</v>
          </cell>
          <cell r="P122">
            <v>0</v>
          </cell>
          <cell r="Q122">
            <v>0</v>
          </cell>
        </row>
        <row r="123">
          <cell r="A123">
            <v>47</v>
          </cell>
          <cell r="B123" t="str">
            <v>33 ـ 11</v>
          </cell>
          <cell r="C123" t="str">
            <v>2017/02/01</v>
          </cell>
          <cell r="D123" t="str">
            <v>فيفـري</v>
          </cell>
          <cell r="E123" t="str">
            <v>مرتـب شهـر فيفـري 2017 ( صنف المستخدمين مهندسي وتقنيي الأسلاك المشتركة )</v>
          </cell>
          <cell r="F123">
            <v>2000</v>
          </cell>
          <cell r="G123">
            <v>0</v>
          </cell>
          <cell r="H123">
            <v>0</v>
          </cell>
          <cell r="I123">
            <v>0</v>
          </cell>
          <cell r="J123">
            <v>0</v>
          </cell>
          <cell r="K123">
            <v>0</v>
          </cell>
          <cell r="L123">
            <v>0</v>
          </cell>
          <cell r="M123">
            <v>0</v>
          </cell>
          <cell r="N123">
            <v>0</v>
          </cell>
          <cell r="O123">
            <v>0</v>
          </cell>
          <cell r="P123">
            <v>0</v>
          </cell>
          <cell r="Q123">
            <v>0</v>
          </cell>
        </row>
        <row r="124">
          <cell r="A124">
            <v>48</v>
          </cell>
          <cell r="B124" t="str">
            <v>31 ـ 11</v>
          </cell>
          <cell r="C124" t="str">
            <v>2017/02/01</v>
          </cell>
          <cell r="D124" t="str">
            <v>فيفـري</v>
          </cell>
          <cell r="E124" t="str">
            <v>مرتـب شهـر فيفـري 2017 ( صنف المستخدمين مهندسي وتقنيي الأسلاك المشتركة )</v>
          </cell>
          <cell r="F124">
            <v>1659825</v>
          </cell>
          <cell r="G124">
            <v>0</v>
          </cell>
          <cell r="H124">
            <v>0</v>
          </cell>
          <cell r="I124">
            <v>0</v>
          </cell>
          <cell r="J124">
            <v>0</v>
          </cell>
          <cell r="K124">
            <v>0</v>
          </cell>
          <cell r="L124">
            <v>0</v>
          </cell>
          <cell r="M124">
            <v>0</v>
          </cell>
          <cell r="N124">
            <v>0</v>
          </cell>
          <cell r="O124">
            <v>0</v>
          </cell>
          <cell r="P124">
            <v>0</v>
          </cell>
          <cell r="Q124">
            <v>0</v>
          </cell>
        </row>
        <row r="125">
          <cell r="A125">
            <v>48</v>
          </cell>
          <cell r="B125" t="str">
            <v>31 ـ 12</v>
          </cell>
          <cell r="C125" t="str">
            <v>2017/02/01</v>
          </cell>
          <cell r="D125" t="str">
            <v>فيفـري</v>
          </cell>
          <cell r="E125" t="str">
            <v>مرتـب شهـر فيفـري 2017 ( صنف المستخدمين مهندسي وتقنيي الأسلاك المشتركة )</v>
          </cell>
          <cell r="F125">
            <v>941377.75</v>
          </cell>
          <cell r="G125">
            <v>0</v>
          </cell>
          <cell r="H125">
            <v>0</v>
          </cell>
          <cell r="I125">
            <v>0</v>
          </cell>
          <cell r="J125">
            <v>0</v>
          </cell>
          <cell r="K125">
            <v>0</v>
          </cell>
          <cell r="L125">
            <v>0</v>
          </cell>
          <cell r="M125">
            <v>0</v>
          </cell>
          <cell r="N125">
            <v>0</v>
          </cell>
          <cell r="O125">
            <v>0</v>
          </cell>
          <cell r="P125">
            <v>0</v>
          </cell>
          <cell r="Q125">
            <v>0</v>
          </cell>
        </row>
        <row r="126">
          <cell r="A126">
            <v>48</v>
          </cell>
          <cell r="B126" t="str">
            <v>33 ـ 11</v>
          </cell>
          <cell r="C126" t="str">
            <v>2017/02/01</v>
          </cell>
          <cell r="D126" t="str">
            <v>فيفـري</v>
          </cell>
          <cell r="E126" t="str">
            <v>مرتـب شهـر فيفـري 2017 ( صنف المستخدمين مهندسي وتقنيي الأسلاك المشتركة )</v>
          </cell>
          <cell r="F126">
            <v>25800</v>
          </cell>
          <cell r="G126">
            <v>0</v>
          </cell>
          <cell r="H126">
            <v>0</v>
          </cell>
          <cell r="I126">
            <v>0</v>
          </cell>
          <cell r="J126">
            <v>0</v>
          </cell>
          <cell r="K126">
            <v>0</v>
          </cell>
          <cell r="L126">
            <v>0</v>
          </cell>
          <cell r="M126">
            <v>0</v>
          </cell>
          <cell r="N126">
            <v>0</v>
          </cell>
          <cell r="O126">
            <v>0</v>
          </cell>
          <cell r="P126">
            <v>0</v>
          </cell>
          <cell r="Q126">
            <v>0</v>
          </cell>
        </row>
        <row r="127">
          <cell r="A127">
            <v>49</v>
          </cell>
          <cell r="B127" t="str">
            <v>33 ـ 13</v>
          </cell>
          <cell r="C127" t="str">
            <v>2017/02/01</v>
          </cell>
          <cell r="D127" t="str">
            <v>فيفـري</v>
          </cell>
          <cell r="E127">
            <v>0</v>
          </cell>
          <cell r="F127">
            <v>1915886.54</v>
          </cell>
          <cell r="G127">
            <v>0</v>
          </cell>
          <cell r="H127">
            <v>0</v>
          </cell>
          <cell r="I127">
            <v>0</v>
          </cell>
          <cell r="J127">
            <v>0</v>
          </cell>
          <cell r="K127">
            <v>0</v>
          </cell>
          <cell r="L127">
            <v>0</v>
          </cell>
          <cell r="M127">
            <v>0</v>
          </cell>
          <cell r="N127">
            <v>0</v>
          </cell>
          <cell r="O127">
            <v>0</v>
          </cell>
          <cell r="P127">
            <v>0</v>
          </cell>
          <cell r="Q127">
            <v>0</v>
          </cell>
        </row>
        <row r="128">
          <cell r="A128">
            <v>50</v>
          </cell>
          <cell r="B128" t="str">
            <v>31 ـ 11</v>
          </cell>
          <cell r="C128" t="str">
            <v>2017/02/01</v>
          </cell>
          <cell r="D128" t="str">
            <v>فيفـري</v>
          </cell>
          <cell r="E128" t="str">
            <v>مرتـب شهـر فيفـري 2017 ( صنف المستخدمين موظفين مختلف )</v>
          </cell>
          <cell r="F128">
            <v>176810.16</v>
          </cell>
          <cell r="G128">
            <v>0</v>
          </cell>
          <cell r="H128">
            <v>0</v>
          </cell>
          <cell r="I128">
            <v>0</v>
          </cell>
          <cell r="J128">
            <v>0</v>
          </cell>
          <cell r="K128">
            <v>0</v>
          </cell>
          <cell r="L128">
            <v>0</v>
          </cell>
          <cell r="M128">
            <v>0</v>
          </cell>
          <cell r="N128">
            <v>0</v>
          </cell>
          <cell r="O128">
            <v>0</v>
          </cell>
          <cell r="P128">
            <v>0</v>
          </cell>
          <cell r="Q128">
            <v>0</v>
          </cell>
        </row>
        <row r="129">
          <cell r="A129">
            <v>50</v>
          </cell>
          <cell r="B129" t="str">
            <v>31 ـ 12</v>
          </cell>
          <cell r="C129" t="str">
            <v>2017/02/01</v>
          </cell>
          <cell r="D129" t="str">
            <v>فيفـري</v>
          </cell>
          <cell r="E129" t="str">
            <v>مرتـب شهـر فيفـري 2017 ( صنف المستخدمين موظفين مختلف )</v>
          </cell>
          <cell r="F129">
            <v>175471.57</v>
          </cell>
          <cell r="G129">
            <v>0</v>
          </cell>
          <cell r="H129">
            <v>0</v>
          </cell>
          <cell r="I129">
            <v>0</v>
          </cell>
          <cell r="J129">
            <v>0</v>
          </cell>
          <cell r="K129">
            <v>0</v>
          </cell>
          <cell r="L129">
            <v>0</v>
          </cell>
          <cell r="M129">
            <v>0</v>
          </cell>
          <cell r="N129">
            <v>0</v>
          </cell>
          <cell r="O129">
            <v>0</v>
          </cell>
          <cell r="P129">
            <v>0</v>
          </cell>
          <cell r="Q129">
            <v>0</v>
          </cell>
        </row>
        <row r="130">
          <cell r="A130">
            <v>50</v>
          </cell>
          <cell r="B130" t="str">
            <v>33 ـ 11</v>
          </cell>
          <cell r="C130" t="str">
            <v>2017/02/01</v>
          </cell>
          <cell r="D130" t="str">
            <v>فيفـري</v>
          </cell>
          <cell r="E130" t="str">
            <v>مرتـب شهـر فيفـري 2017 ( صنف المستخدمين موظفين مختلف )</v>
          </cell>
          <cell r="F130">
            <v>3767.5</v>
          </cell>
          <cell r="G130">
            <v>0</v>
          </cell>
          <cell r="H130">
            <v>0</v>
          </cell>
          <cell r="I130">
            <v>0</v>
          </cell>
          <cell r="J130">
            <v>0</v>
          </cell>
          <cell r="K130">
            <v>0</v>
          </cell>
          <cell r="L130">
            <v>0</v>
          </cell>
          <cell r="M130">
            <v>0</v>
          </cell>
          <cell r="N130">
            <v>0</v>
          </cell>
          <cell r="O130">
            <v>0</v>
          </cell>
          <cell r="P130">
            <v>0</v>
          </cell>
          <cell r="Q130">
            <v>0</v>
          </cell>
        </row>
        <row r="131">
          <cell r="A131">
            <v>51</v>
          </cell>
          <cell r="B131" t="str">
            <v>31 ـ 11</v>
          </cell>
          <cell r="C131" t="str">
            <v>2017/02/01</v>
          </cell>
          <cell r="D131" t="str">
            <v>فيفـري</v>
          </cell>
          <cell r="E131" t="str">
            <v>مرتـب شهـر فيفـري 2017 ( صنف المستخدمين موظفين مختلف )</v>
          </cell>
          <cell r="F131">
            <v>1086946.3899999999</v>
          </cell>
          <cell r="G131">
            <v>0</v>
          </cell>
          <cell r="H131">
            <v>0</v>
          </cell>
          <cell r="I131">
            <v>0</v>
          </cell>
          <cell r="J131">
            <v>0</v>
          </cell>
          <cell r="K131">
            <v>0</v>
          </cell>
          <cell r="L131">
            <v>0</v>
          </cell>
          <cell r="M131">
            <v>0</v>
          </cell>
          <cell r="N131">
            <v>0</v>
          </cell>
          <cell r="O131">
            <v>0</v>
          </cell>
          <cell r="P131">
            <v>0</v>
          </cell>
          <cell r="Q131">
            <v>0</v>
          </cell>
        </row>
        <row r="132">
          <cell r="A132">
            <v>51</v>
          </cell>
          <cell r="B132" t="str">
            <v>31 ـ 12</v>
          </cell>
          <cell r="C132" t="str">
            <v>2017/02/01</v>
          </cell>
          <cell r="D132" t="str">
            <v>فيفـري</v>
          </cell>
          <cell r="E132" t="str">
            <v>مرتـب شهـر فيفـري 2017 ( صنف المستخدمين موظفين مختلف )</v>
          </cell>
          <cell r="F132">
            <v>574590.28</v>
          </cell>
          <cell r="G132">
            <v>0</v>
          </cell>
          <cell r="H132">
            <v>0</v>
          </cell>
          <cell r="I132">
            <v>0</v>
          </cell>
          <cell r="J132">
            <v>0</v>
          </cell>
          <cell r="K132">
            <v>0</v>
          </cell>
          <cell r="L132">
            <v>0</v>
          </cell>
          <cell r="M132">
            <v>0</v>
          </cell>
          <cell r="N132">
            <v>0</v>
          </cell>
          <cell r="O132">
            <v>0</v>
          </cell>
          <cell r="P132">
            <v>0</v>
          </cell>
          <cell r="Q132">
            <v>0</v>
          </cell>
        </row>
        <row r="133">
          <cell r="A133">
            <v>51</v>
          </cell>
          <cell r="B133" t="str">
            <v>33 ـ 11</v>
          </cell>
          <cell r="C133" t="str">
            <v>2017/02/01</v>
          </cell>
          <cell r="D133" t="str">
            <v>فيفـري</v>
          </cell>
          <cell r="E133" t="str">
            <v>مرتـب شهـر فيفـري 2017 ( صنف المستخدمين موظفين مختلف )</v>
          </cell>
          <cell r="F133">
            <v>37768.75</v>
          </cell>
          <cell r="G133">
            <v>0</v>
          </cell>
          <cell r="H133">
            <v>0</v>
          </cell>
          <cell r="I133">
            <v>0</v>
          </cell>
          <cell r="J133">
            <v>0</v>
          </cell>
          <cell r="K133">
            <v>0</v>
          </cell>
          <cell r="L133">
            <v>0</v>
          </cell>
          <cell r="M133">
            <v>0</v>
          </cell>
          <cell r="N133">
            <v>0</v>
          </cell>
          <cell r="O133">
            <v>0</v>
          </cell>
          <cell r="P133">
            <v>0</v>
          </cell>
          <cell r="Q133">
            <v>0</v>
          </cell>
        </row>
        <row r="134">
          <cell r="A134">
            <v>52</v>
          </cell>
          <cell r="B134" t="str">
            <v>31 ـ 11</v>
          </cell>
          <cell r="C134" t="str">
            <v>2017/02/01</v>
          </cell>
          <cell r="D134" t="str">
            <v>فيفـري</v>
          </cell>
          <cell r="E134" t="str">
            <v>مرتـب شهـر فيفـري 2017 ( صنف المستخدمين موظفين مختلف )</v>
          </cell>
          <cell r="F134">
            <v>1381723.32</v>
          </cell>
          <cell r="G134">
            <v>0</v>
          </cell>
          <cell r="H134">
            <v>0</v>
          </cell>
          <cell r="I134">
            <v>0</v>
          </cell>
          <cell r="J134">
            <v>0</v>
          </cell>
          <cell r="K134">
            <v>0</v>
          </cell>
          <cell r="L134">
            <v>0</v>
          </cell>
          <cell r="M134">
            <v>0</v>
          </cell>
          <cell r="N134">
            <v>0</v>
          </cell>
          <cell r="O134">
            <v>0</v>
          </cell>
          <cell r="P134">
            <v>0</v>
          </cell>
          <cell r="Q134">
            <v>0</v>
          </cell>
        </row>
        <row r="135">
          <cell r="A135">
            <v>52</v>
          </cell>
          <cell r="B135" t="str">
            <v>31 ـ 12</v>
          </cell>
          <cell r="C135" t="str">
            <v>2017/02/01</v>
          </cell>
          <cell r="D135" t="str">
            <v>فيفـري</v>
          </cell>
          <cell r="E135" t="str">
            <v>مرتـب شهـر فيفـري 2017 ( صنف المستخدمين موظفين مختلف )</v>
          </cell>
          <cell r="F135">
            <v>745650.84</v>
          </cell>
          <cell r="G135">
            <v>0</v>
          </cell>
          <cell r="H135">
            <v>0</v>
          </cell>
          <cell r="I135">
            <v>0</v>
          </cell>
          <cell r="J135">
            <v>0</v>
          </cell>
          <cell r="K135">
            <v>0</v>
          </cell>
          <cell r="L135">
            <v>0</v>
          </cell>
          <cell r="M135">
            <v>0</v>
          </cell>
          <cell r="N135">
            <v>0</v>
          </cell>
          <cell r="O135">
            <v>0</v>
          </cell>
          <cell r="P135">
            <v>0</v>
          </cell>
          <cell r="Q135">
            <v>0</v>
          </cell>
        </row>
        <row r="136">
          <cell r="A136">
            <v>52</v>
          </cell>
          <cell r="B136" t="str">
            <v>33 ـ 11</v>
          </cell>
          <cell r="C136" t="str">
            <v>2017/02/01</v>
          </cell>
          <cell r="D136" t="str">
            <v>فيفـري</v>
          </cell>
          <cell r="E136" t="str">
            <v>مرتـب شهـر فيفـري 2017 ( صنف المستخدمين موظفين مختلف )</v>
          </cell>
          <cell r="F136">
            <v>57981.25</v>
          </cell>
          <cell r="G136">
            <v>0</v>
          </cell>
          <cell r="H136">
            <v>0</v>
          </cell>
          <cell r="I136">
            <v>0</v>
          </cell>
          <cell r="J136">
            <v>0</v>
          </cell>
          <cell r="K136">
            <v>0</v>
          </cell>
          <cell r="L136">
            <v>0</v>
          </cell>
          <cell r="M136">
            <v>0</v>
          </cell>
          <cell r="N136">
            <v>0</v>
          </cell>
          <cell r="O136">
            <v>0</v>
          </cell>
          <cell r="P136">
            <v>0</v>
          </cell>
          <cell r="Q136">
            <v>0</v>
          </cell>
        </row>
        <row r="137">
          <cell r="A137">
            <v>53</v>
          </cell>
          <cell r="B137" t="str">
            <v>31 ـ 11</v>
          </cell>
          <cell r="C137" t="str">
            <v>2017/02/01</v>
          </cell>
          <cell r="D137" t="str">
            <v>فيفـري</v>
          </cell>
          <cell r="E137" t="str">
            <v>مرتـب شهـر فيفـري 2017 ( صنف المستخدمين موظفين مختلف )</v>
          </cell>
          <cell r="F137">
            <v>81450</v>
          </cell>
          <cell r="G137">
            <v>0</v>
          </cell>
          <cell r="H137">
            <v>0</v>
          </cell>
          <cell r="I137">
            <v>0</v>
          </cell>
          <cell r="J137">
            <v>0</v>
          </cell>
          <cell r="K137">
            <v>0</v>
          </cell>
          <cell r="L137">
            <v>0</v>
          </cell>
          <cell r="M137">
            <v>0</v>
          </cell>
          <cell r="N137">
            <v>0</v>
          </cell>
          <cell r="O137">
            <v>0</v>
          </cell>
          <cell r="P137">
            <v>0</v>
          </cell>
          <cell r="Q137">
            <v>0</v>
          </cell>
        </row>
        <row r="138">
          <cell r="A138">
            <v>53</v>
          </cell>
          <cell r="B138" t="str">
            <v>31 ـ 12</v>
          </cell>
          <cell r="C138" t="str">
            <v>2017/02/01</v>
          </cell>
          <cell r="D138" t="str">
            <v>فيفـري</v>
          </cell>
          <cell r="E138" t="str">
            <v>مرتـب شهـر فيفـري 2017 ( صنف المستخدمين موظفين مختلف )</v>
          </cell>
          <cell r="F138">
            <v>40529.160000000003</v>
          </cell>
          <cell r="G138">
            <v>0</v>
          </cell>
          <cell r="H138">
            <v>0</v>
          </cell>
          <cell r="I138">
            <v>0</v>
          </cell>
          <cell r="J138">
            <v>0</v>
          </cell>
          <cell r="K138">
            <v>0</v>
          </cell>
          <cell r="L138">
            <v>0</v>
          </cell>
          <cell r="M138">
            <v>0</v>
          </cell>
          <cell r="N138">
            <v>0</v>
          </cell>
          <cell r="O138">
            <v>0</v>
          </cell>
          <cell r="P138">
            <v>0</v>
          </cell>
          <cell r="Q138">
            <v>0</v>
          </cell>
        </row>
        <row r="139">
          <cell r="A139">
            <v>53</v>
          </cell>
          <cell r="B139" t="str">
            <v>33 ـ 11</v>
          </cell>
          <cell r="C139" t="str">
            <v>2017/02/01</v>
          </cell>
          <cell r="D139" t="str">
            <v>فيفـري</v>
          </cell>
          <cell r="E139" t="str">
            <v>مرتـب شهـر فيفـري 2017 ( صنف المستخدمين موظفين مختلف )</v>
          </cell>
          <cell r="F139">
            <v>2333.75</v>
          </cell>
          <cell r="G139">
            <v>0</v>
          </cell>
          <cell r="H139">
            <v>0</v>
          </cell>
          <cell r="I139">
            <v>0</v>
          </cell>
          <cell r="J139">
            <v>0</v>
          </cell>
          <cell r="K139">
            <v>0</v>
          </cell>
          <cell r="L139">
            <v>0</v>
          </cell>
          <cell r="M139">
            <v>0</v>
          </cell>
          <cell r="N139">
            <v>0</v>
          </cell>
          <cell r="O139">
            <v>0</v>
          </cell>
          <cell r="P139">
            <v>0</v>
          </cell>
          <cell r="Q139">
            <v>0</v>
          </cell>
        </row>
        <row r="140">
          <cell r="A140">
            <v>54</v>
          </cell>
          <cell r="B140" t="str">
            <v>31 ـ 11</v>
          </cell>
          <cell r="C140" t="str">
            <v>2017/02/01</v>
          </cell>
          <cell r="D140" t="str">
            <v>فيفـري</v>
          </cell>
          <cell r="E140" t="str">
            <v>مرتـب شهـر فيفـري 2017 ( صنف المستخدمين موظفين مختلف )</v>
          </cell>
          <cell r="F140">
            <v>4542542.53</v>
          </cell>
          <cell r="G140">
            <v>0</v>
          </cell>
          <cell r="H140">
            <v>0</v>
          </cell>
          <cell r="I140">
            <v>0</v>
          </cell>
          <cell r="J140">
            <v>0</v>
          </cell>
          <cell r="K140">
            <v>0</v>
          </cell>
          <cell r="L140">
            <v>0</v>
          </cell>
          <cell r="M140">
            <v>0</v>
          </cell>
          <cell r="N140">
            <v>0</v>
          </cell>
          <cell r="O140">
            <v>0</v>
          </cell>
          <cell r="P140">
            <v>0</v>
          </cell>
          <cell r="Q140">
            <v>0</v>
          </cell>
        </row>
        <row r="141">
          <cell r="A141">
            <v>54</v>
          </cell>
          <cell r="B141" t="str">
            <v>31 ـ 12</v>
          </cell>
          <cell r="C141" t="str">
            <v>2017/02/01</v>
          </cell>
          <cell r="D141" t="str">
            <v>فيفـري</v>
          </cell>
          <cell r="E141" t="str">
            <v>مرتـب شهـر فيفـري 2017 ( صنف المستخدمين موظفين مختلف )</v>
          </cell>
          <cell r="F141">
            <v>3063189.02</v>
          </cell>
          <cell r="G141">
            <v>0</v>
          </cell>
          <cell r="H141">
            <v>0</v>
          </cell>
          <cell r="I141">
            <v>0</v>
          </cell>
          <cell r="J141">
            <v>0</v>
          </cell>
          <cell r="K141">
            <v>0</v>
          </cell>
          <cell r="L141">
            <v>0</v>
          </cell>
          <cell r="M141">
            <v>0</v>
          </cell>
          <cell r="N141">
            <v>0</v>
          </cell>
          <cell r="O141">
            <v>0</v>
          </cell>
          <cell r="P141">
            <v>0</v>
          </cell>
          <cell r="Q141">
            <v>0</v>
          </cell>
        </row>
        <row r="142">
          <cell r="A142">
            <v>54</v>
          </cell>
          <cell r="B142" t="str">
            <v>33 ـ 11</v>
          </cell>
          <cell r="C142" t="str">
            <v>2017/02/01</v>
          </cell>
          <cell r="D142" t="str">
            <v>فيفـري</v>
          </cell>
          <cell r="E142" t="str">
            <v>مرتـب شهـر فيفـري 2017 ( صنف المستخدمين موظفين مختلف )</v>
          </cell>
          <cell r="F142">
            <v>147151</v>
          </cell>
          <cell r="G142">
            <v>0</v>
          </cell>
          <cell r="H142">
            <v>0</v>
          </cell>
          <cell r="I142">
            <v>0</v>
          </cell>
          <cell r="J142">
            <v>0</v>
          </cell>
          <cell r="K142">
            <v>0</v>
          </cell>
          <cell r="L142">
            <v>0</v>
          </cell>
          <cell r="M142">
            <v>0</v>
          </cell>
          <cell r="N142">
            <v>0</v>
          </cell>
          <cell r="O142">
            <v>0</v>
          </cell>
          <cell r="P142">
            <v>0</v>
          </cell>
          <cell r="Q142">
            <v>0</v>
          </cell>
        </row>
        <row r="143">
          <cell r="A143">
            <v>55</v>
          </cell>
          <cell r="B143" t="str">
            <v>31 ـ 11</v>
          </cell>
          <cell r="C143" t="str">
            <v>2017/02/01</v>
          </cell>
          <cell r="D143" t="str">
            <v>فيفـري</v>
          </cell>
          <cell r="E143" t="str">
            <v>مرتـب شهـر فيفـري 2017 ( صنف المستخدمين موظفين مختلف )</v>
          </cell>
          <cell r="F143">
            <v>242895.16</v>
          </cell>
          <cell r="G143">
            <v>0</v>
          </cell>
          <cell r="H143">
            <v>0</v>
          </cell>
          <cell r="I143">
            <v>0</v>
          </cell>
          <cell r="J143">
            <v>0</v>
          </cell>
          <cell r="K143">
            <v>0</v>
          </cell>
          <cell r="L143">
            <v>0</v>
          </cell>
          <cell r="M143">
            <v>0</v>
          </cell>
          <cell r="N143">
            <v>0</v>
          </cell>
          <cell r="O143">
            <v>0</v>
          </cell>
          <cell r="P143">
            <v>0</v>
          </cell>
          <cell r="Q143">
            <v>0</v>
          </cell>
        </row>
        <row r="144">
          <cell r="A144">
            <v>55</v>
          </cell>
          <cell r="B144" t="str">
            <v>31 ـ 12</v>
          </cell>
          <cell r="C144" t="str">
            <v>2017/02/01</v>
          </cell>
          <cell r="D144" t="str">
            <v>فيفـري</v>
          </cell>
          <cell r="E144" t="str">
            <v>مرتـب شهـر فيفـري 2017 ( صنف المستخدمين موظفين مختلف )</v>
          </cell>
          <cell r="F144">
            <v>118295.14</v>
          </cell>
          <cell r="G144">
            <v>0</v>
          </cell>
          <cell r="H144">
            <v>0</v>
          </cell>
          <cell r="I144">
            <v>0</v>
          </cell>
          <cell r="J144">
            <v>0</v>
          </cell>
          <cell r="K144">
            <v>0</v>
          </cell>
          <cell r="L144">
            <v>0</v>
          </cell>
          <cell r="M144">
            <v>0</v>
          </cell>
          <cell r="N144">
            <v>0</v>
          </cell>
          <cell r="O144">
            <v>0</v>
          </cell>
          <cell r="P144">
            <v>0</v>
          </cell>
          <cell r="Q144">
            <v>0</v>
          </cell>
        </row>
        <row r="145">
          <cell r="A145">
            <v>55</v>
          </cell>
          <cell r="B145" t="str">
            <v>33 ـ 11</v>
          </cell>
          <cell r="C145" t="str">
            <v>2017/02/01</v>
          </cell>
          <cell r="D145" t="str">
            <v>فيفـري</v>
          </cell>
          <cell r="E145" t="str">
            <v>مرتـب شهـر فيفـري 2017 ( صنف المستخدمين موظفين مختلف )</v>
          </cell>
          <cell r="F145">
            <v>5500</v>
          </cell>
          <cell r="G145">
            <v>0</v>
          </cell>
          <cell r="H145">
            <v>0</v>
          </cell>
          <cell r="I145">
            <v>0</v>
          </cell>
          <cell r="J145">
            <v>0</v>
          </cell>
          <cell r="K145">
            <v>0</v>
          </cell>
          <cell r="L145">
            <v>0</v>
          </cell>
          <cell r="M145">
            <v>0</v>
          </cell>
          <cell r="N145">
            <v>0</v>
          </cell>
          <cell r="O145">
            <v>0</v>
          </cell>
          <cell r="P145">
            <v>0</v>
          </cell>
          <cell r="Q145">
            <v>0</v>
          </cell>
        </row>
        <row r="146">
          <cell r="A146">
            <v>56</v>
          </cell>
          <cell r="B146" t="str">
            <v>31 ـ 11</v>
          </cell>
          <cell r="C146" t="str">
            <v>2017/02/01</v>
          </cell>
          <cell r="D146" t="str">
            <v>فيفـري</v>
          </cell>
          <cell r="E146" t="str">
            <v>مرتـب شهـر فيفـري 2017 ( صنف المستخدمين موظفين مختلف )</v>
          </cell>
          <cell r="F146">
            <v>1291449.1200000001</v>
          </cell>
          <cell r="G146">
            <v>0</v>
          </cell>
          <cell r="H146">
            <v>0</v>
          </cell>
          <cell r="I146">
            <v>0</v>
          </cell>
          <cell r="J146">
            <v>0</v>
          </cell>
          <cell r="K146">
            <v>0</v>
          </cell>
          <cell r="L146">
            <v>0</v>
          </cell>
          <cell r="M146">
            <v>0</v>
          </cell>
          <cell r="N146">
            <v>0</v>
          </cell>
          <cell r="O146">
            <v>0</v>
          </cell>
          <cell r="P146">
            <v>0</v>
          </cell>
          <cell r="Q146">
            <v>0</v>
          </cell>
        </row>
        <row r="147">
          <cell r="A147">
            <v>56</v>
          </cell>
          <cell r="B147" t="str">
            <v>31 ـ 12</v>
          </cell>
          <cell r="C147" t="str">
            <v>2017/02/01</v>
          </cell>
          <cell r="D147" t="str">
            <v>فيفـري</v>
          </cell>
          <cell r="E147" t="str">
            <v>مرتـب شهـر فيفـري 2017 ( صنف المستخدمين موظفين مختلف )</v>
          </cell>
          <cell r="F147">
            <v>1349452.35</v>
          </cell>
          <cell r="G147">
            <v>0</v>
          </cell>
          <cell r="H147">
            <v>0</v>
          </cell>
          <cell r="I147">
            <v>0</v>
          </cell>
          <cell r="J147">
            <v>0</v>
          </cell>
          <cell r="K147">
            <v>0</v>
          </cell>
          <cell r="L147">
            <v>0</v>
          </cell>
          <cell r="M147">
            <v>0</v>
          </cell>
          <cell r="N147">
            <v>0</v>
          </cell>
          <cell r="O147">
            <v>0</v>
          </cell>
          <cell r="P147">
            <v>0</v>
          </cell>
          <cell r="Q147">
            <v>0</v>
          </cell>
        </row>
        <row r="148">
          <cell r="A148">
            <v>56</v>
          </cell>
          <cell r="B148" t="str">
            <v>33 ـ 11</v>
          </cell>
          <cell r="C148" t="str">
            <v>2017/02/01</v>
          </cell>
          <cell r="D148" t="str">
            <v>فيفـري</v>
          </cell>
          <cell r="E148" t="str">
            <v>مرتـب شهـر فيفـري 2017 ( صنف المستخدمين موظفين مختلف )</v>
          </cell>
          <cell r="F148">
            <v>24802.5</v>
          </cell>
          <cell r="G148">
            <v>0</v>
          </cell>
          <cell r="H148">
            <v>0</v>
          </cell>
          <cell r="I148">
            <v>0</v>
          </cell>
          <cell r="J148">
            <v>0</v>
          </cell>
          <cell r="K148">
            <v>0</v>
          </cell>
          <cell r="L148">
            <v>0</v>
          </cell>
          <cell r="M148">
            <v>0</v>
          </cell>
          <cell r="N148">
            <v>0</v>
          </cell>
          <cell r="O148">
            <v>0</v>
          </cell>
          <cell r="P148">
            <v>0</v>
          </cell>
          <cell r="Q148">
            <v>0</v>
          </cell>
        </row>
        <row r="149">
          <cell r="A149">
            <v>57</v>
          </cell>
          <cell r="B149" t="str">
            <v>31 ـ 11</v>
          </cell>
          <cell r="C149" t="str">
            <v>2017/02/01</v>
          </cell>
          <cell r="D149" t="str">
            <v>فيفـري</v>
          </cell>
          <cell r="E149" t="str">
            <v>مرتـب شهـر فيفـري 2017 ( صنف المستخدمين موظفين مختلف )</v>
          </cell>
          <cell r="F149">
            <v>21150</v>
          </cell>
          <cell r="G149">
            <v>0</v>
          </cell>
          <cell r="H149">
            <v>0</v>
          </cell>
          <cell r="I149">
            <v>0</v>
          </cell>
          <cell r="J149">
            <v>0</v>
          </cell>
          <cell r="K149">
            <v>0</v>
          </cell>
          <cell r="L149">
            <v>0</v>
          </cell>
          <cell r="M149">
            <v>0</v>
          </cell>
          <cell r="N149">
            <v>0</v>
          </cell>
          <cell r="O149">
            <v>0</v>
          </cell>
          <cell r="P149">
            <v>0</v>
          </cell>
          <cell r="Q149">
            <v>0</v>
          </cell>
        </row>
        <row r="150">
          <cell r="A150">
            <v>57</v>
          </cell>
          <cell r="B150" t="str">
            <v>31 ـ 12</v>
          </cell>
          <cell r="C150" t="str">
            <v>2017/02/01</v>
          </cell>
          <cell r="D150" t="str">
            <v>فيفـري</v>
          </cell>
          <cell r="E150" t="str">
            <v>مرتـب شهـر فيفـري 2017 ( صنف المستخدمين موظفين مختلف )</v>
          </cell>
          <cell r="F150">
            <v>11235.83</v>
          </cell>
          <cell r="G150">
            <v>0</v>
          </cell>
          <cell r="H150">
            <v>0</v>
          </cell>
          <cell r="I150">
            <v>0</v>
          </cell>
          <cell r="J150">
            <v>0</v>
          </cell>
          <cell r="K150">
            <v>0</v>
          </cell>
          <cell r="L150">
            <v>0</v>
          </cell>
          <cell r="M150">
            <v>0</v>
          </cell>
          <cell r="N150">
            <v>0</v>
          </cell>
          <cell r="O150">
            <v>0</v>
          </cell>
          <cell r="P150">
            <v>0</v>
          </cell>
          <cell r="Q150">
            <v>0</v>
          </cell>
        </row>
        <row r="151">
          <cell r="A151">
            <v>57</v>
          </cell>
          <cell r="B151" t="str">
            <v>33 ـ 11</v>
          </cell>
          <cell r="C151" t="str">
            <v>2017/02/01</v>
          </cell>
          <cell r="D151" t="str">
            <v>فيفـري</v>
          </cell>
          <cell r="E151" t="str">
            <v>مرتـب شهـر فيفـري 2017 ( صنف المستخدمين موظفين مختلف )</v>
          </cell>
          <cell r="F151">
            <v>1722.5</v>
          </cell>
          <cell r="G151">
            <v>0</v>
          </cell>
          <cell r="H151">
            <v>0</v>
          </cell>
          <cell r="I151">
            <v>0</v>
          </cell>
          <cell r="J151">
            <v>0</v>
          </cell>
          <cell r="K151">
            <v>0</v>
          </cell>
          <cell r="L151">
            <v>0</v>
          </cell>
          <cell r="M151">
            <v>0</v>
          </cell>
          <cell r="N151">
            <v>0</v>
          </cell>
          <cell r="O151">
            <v>0</v>
          </cell>
          <cell r="P151">
            <v>0</v>
          </cell>
          <cell r="Q151">
            <v>0</v>
          </cell>
        </row>
        <row r="152">
          <cell r="A152">
            <v>58</v>
          </cell>
          <cell r="B152" t="str">
            <v>31 ـ 11</v>
          </cell>
          <cell r="C152" t="str">
            <v>2017/02/01</v>
          </cell>
          <cell r="D152" t="str">
            <v>فيفـري</v>
          </cell>
          <cell r="E152" t="str">
            <v>مرتـب شهـر فيفـري 2017 ( صنف المستخدمين موظفين مختلف )</v>
          </cell>
          <cell r="F152">
            <v>214875</v>
          </cell>
          <cell r="G152">
            <v>0</v>
          </cell>
          <cell r="H152">
            <v>0</v>
          </cell>
          <cell r="I152">
            <v>0</v>
          </cell>
          <cell r="J152">
            <v>0</v>
          </cell>
          <cell r="K152">
            <v>0</v>
          </cell>
          <cell r="L152">
            <v>0</v>
          </cell>
          <cell r="M152">
            <v>0</v>
          </cell>
          <cell r="N152">
            <v>0</v>
          </cell>
          <cell r="O152">
            <v>0</v>
          </cell>
          <cell r="P152">
            <v>0</v>
          </cell>
          <cell r="Q152">
            <v>0</v>
          </cell>
        </row>
        <row r="153">
          <cell r="A153">
            <v>58</v>
          </cell>
          <cell r="B153" t="str">
            <v>31 ـ 12</v>
          </cell>
          <cell r="C153" t="str">
            <v>2017/02/01</v>
          </cell>
          <cell r="D153" t="str">
            <v>فيفـري</v>
          </cell>
          <cell r="E153" t="str">
            <v>مرتـب شهـر فيفـري 2017 ( صنف المستخدمين موظفين مختلف )</v>
          </cell>
          <cell r="F153">
            <v>115570.8</v>
          </cell>
          <cell r="G153">
            <v>0</v>
          </cell>
          <cell r="H153">
            <v>0</v>
          </cell>
          <cell r="I153">
            <v>0</v>
          </cell>
          <cell r="J153">
            <v>0</v>
          </cell>
          <cell r="K153">
            <v>0</v>
          </cell>
          <cell r="L153">
            <v>0</v>
          </cell>
          <cell r="M153">
            <v>0</v>
          </cell>
          <cell r="N153">
            <v>0</v>
          </cell>
          <cell r="O153">
            <v>0</v>
          </cell>
          <cell r="P153">
            <v>0</v>
          </cell>
          <cell r="Q153">
            <v>0</v>
          </cell>
        </row>
        <row r="154">
          <cell r="A154">
            <v>58</v>
          </cell>
          <cell r="B154" t="str">
            <v>33 ـ 11</v>
          </cell>
          <cell r="C154" t="str">
            <v>2017/02/01</v>
          </cell>
          <cell r="D154" t="str">
            <v>فيفـري</v>
          </cell>
          <cell r="E154" t="str">
            <v>مرتـب شهـر فيفـري 2017 ( صنف المستخدمين موظفين مختلف )</v>
          </cell>
          <cell r="F154">
            <v>7733.75</v>
          </cell>
          <cell r="G154">
            <v>0</v>
          </cell>
          <cell r="H154">
            <v>0</v>
          </cell>
          <cell r="I154">
            <v>0</v>
          </cell>
          <cell r="J154">
            <v>0</v>
          </cell>
          <cell r="K154">
            <v>0</v>
          </cell>
          <cell r="L154">
            <v>0</v>
          </cell>
          <cell r="M154">
            <v>0</v>
          </cell>
          <cell r="N154">
            <v>0</v>
          </cell>
          <cell r="O154">
            <v>0</v>
          </cell>
          <cell r="P154">
            <v>0</v>
          </cell>
          <cell r="Q154">
            <v>0</v>
          </cell>
        </row>
        <row r="155">
          <cell r="A155">
            <v>59</v>
          </cell>
          <cell r="B155" t="str">
            <v>31 ـ 11</v>
          </cell>
          <cell r="C155" t="str">
            <v>2017/02/01</v>
          </cell>
          <cell r="D155" t="str">
            <v>فيفـري</v>
          </cell>
          <cell r="E155" t="str">
            <v>مرتـب شهـر فيفـري 2017 ( صنف المستخدمين الوظائف العليا )</v>
          </cell>
          <cell r="F155">
            <v>63745</v>
          </cell>
          <cell r="G155">
            <v>0</v>
          </cell>
          <cell r="H155">
            <v>0</v>
          </cell>
          <cell r="I155">
            <v>0</v>
          </cell>
          <cell r="J155">
            <v>0</v>
          </cell>
          <cell r="K155">
            <v>0</v>
          </cell>
          <cell r="L155">
            <v>0</v>
          </cell>
          <cell r="M155">
            <v>0</v>
          </cell>
          <cell r="N155">
            <v>0</v>
          </cell>
          <cell r="O155">
            <v>0</v>
          </cell>
          <cell r="P155">
            <v>0</v>
          </cell>
          <cell r="Q155">
            <v>0</v>
          </cell>
        </row>
        <row r="156">
          <cell r="A156">
            <v>59</v>
          </cell>
          <cell r="B156" t="str">
            <v>31 ـ 12</v>
          </cell>
          <cell r="C156" t="str">
            <v>2017/02/01</v>
          </cell>
          <cell r="D156" t="str">
            <v>فيفـري</v>
          </cell>
          <cell r="E156" t="str">
            <v>مرتـب شهـر فيفـري 2017 ( صنف المستخدمين الوظائف العليا )</v>
          </cell>
          <cell r="F156">
            <v>79714.58</v>
          </cell>
          <cell r="G156">
            <v>0</v>
          </cell>
          <cell r="H156">
            <v>0</v>
          </cell>
          <cell r="I156">
            <v>0</v>
          </cell>
          <cell r="J156">
            <v>0</v>
          </cell>
          <cell r="K156">
            <v>0</v>
          </cell>
          <cell r="L156">
            <v>0</v>
          </cell>
          <cell r="M156">
            <v>0</v>
          </cell>
          <cell r="N156">
            <v>0</v>
          </cell>
          <cell r="O156">
            <v>0</v>
          </cell>
          <cell r="P156">
            <v>0</v>
          </cell>
          <cell r="Q156">
            <v>0</v>
          </cell>
        </row>
        <row r="157">
          <cell r="A157">
            <v>59</v>
          </cell>
          <cell r="B157" t="str">
            <v>33 ـ 11</v>
          </cell>
          <cell r="C157" t="str">
            <v>2017/02/01</v>
          </cell>
          <cell r="D157" t="str">
            <v>فيفـري</v>
          </cell>
          <cell r="E157" t="str">
            <v>مرتـب شهـر فيفـري 2017 ( صنف المستخدمين الوظائف العليا )</v>
          </cell>
          <cell r="F157">
            <v>611.25</v>
          </cell>
          <cell r="G157">
            <v>0</v>
          </cell>
          <cell r="H157">
            <v>0</v>
          </cell>
          <cell r="I157">
            <v>0</v>
          </cell>
          <cell r="J157">
            <v>0</v>
          </cell>
          <cell r="K157">
            <v>0</v>
          </cell>
          <cell r="L157">
            <v>0</v>
          </cell>
          <cell r="M157">
            <v>0</v>
          </cell>
          <cell r="N157">
            <v>0</v>
          </cell>
          <cell r="O157">
            <v>0</v>
          </cell>
          <cell r="P157">
            <v>0</v>
          </cell>
          <cell r="Q157">
            <v>0</v>
          </cell>
        </row>
        <row r="158">
          <cell r="A158">
            <v>60</v>
          </cell>
          <cell r="B158" t="str">
            <v>33 ـ 13</v>
          </cell>
          <cell r="C158" t="str">
            <v>2017/02/01</v>
          </cell>
          <cell r="D158" t="str">
            <v>فيفـري</v>
          </cell>
          <cell r="E158">
            <v>0</v>
          </cell>
          <cell r="F158">
            <v>3814321.58</v>
          </cell>
          <cell r="G158">
            <v>0</v>
          </cell>
          <cell r="H158">
            <v>0</v>
          </cell>
          <cell r="I158">
            <v>0</v>
          </cell>
          <cell r="J158">
            <v>0</v>
          </cell>
          <cell r="K158">
            <v>0</v>
          </cell>
          <cell r="L158">
            <v>0</v>
          </cell>
          <cell r="M158">
            <v>0</v>
          </cell>
          <cell r="N158">
            <v>0</v>
          </cell>
          <cell r="O158">
            <v>0</v>
          </cell>
          <cell r="P158">
            <v>0</v>
          </cell>
          <cell r="Q158">
            <v>0</v>
          </cell>
        </row>
        <row r="159">
          <cell r="A159">
            <v>61</v>
          </cell>
          <cell r="B159" t="str">
            <v>31 ـ 11</v>
          </cell>
          <cell r="C159" t="str">
            <v>2017/02/01</v>
          </cell>
          <cell r="D159" t="str">
            <v>فيفـري</v>
          </cell>
          <cell r="E159" t="str">
            <v>مرتـب شهـر فيفـري 2017 ( صنف المستخدمين المندوبين المكلفين بمهمة الأمن )</v>
          </cell>
          <cell r="F159">
            <v>179015.94</v>
          </cell>
          <cell r="G159">
            <v>0</v>
          </cell>
          <cell r="H159">
            <v>0</v>
          </cell>
          <cell r="I159">
            <v>0</v>
          </cell>
          <cell r="J159">
            <v>0</v>
          </cell>
          <cell r="K159">
            <v>0</v>
          </cell>
          <cell r="L159">
            <v>0</v>
          </cell>
          <cell r="M159">
            <v>0</v>
          </cell>
          <cell r="N159">
            <v>0</v>
          </cell>
          <cell r="O159">
            <v>0</v>
          </cell>
          <cell r="P159">
            <v>0</v>
          </cell>
          <cell r="Q159">
            <v>0</v>
          </cell>
        </row>
        <row r="160">
          <cell r="A160">
            <v>61</v>
          </cell>
          <cell r="B160" t="str">
            <v>31 ـ 12</v>
          </cell>
          <cell r="C160" t="str">
            <v>2017/02/01</v>
          </cell>
          <cell r="D160" t="str">
            <v>فيفـري</v>
          </cell>
          <cell r="E160" t="str">
            <v>مرتـب شهـر فيفـري 2017 ( صنف المستخدمين المندوبين المكلفين بمهمة الأمن )</v>
          </cell>
          <cell r="F160">
            <v>95997.92</v>
          </cell>
          <cell r="G160">
            <v>0</v>
          </cell>
          <cell r="H160">
            <v>0</v>
          </cell>
          <cell r="I160">
            <v>0</v>
          </cell>
          <cell r="J160">
            <v>0</v>
          </cell>
          <cell r="K160">
            <v>0</v>
          </cell>
          <cell r="L160">
            <v>0</v>
          </cell>
          <cell r="M160">
            <v>0</v>
          </cell>
          <cell r="N160">
            <v>0</v>
          </cell>
          <cell r="O160">
            <v>0</v>
          </cell>
          <cell r="P160">
            <v>0</v>
          </cell>
          <cell r="Q160">
            <v>0</v>
          </cell>
        </row>
        <row r="161">
          <cell r="A161">
            <v>61</v>
          </cell>
          <cell r="B161" t="str">
            <v>33 ـ 11</v>
          </cell>
          <cell r="C161" t="str">
            <v>2017/02/01</v>
          </cell>
          <cell r="D161" t="str">
            <v>فيفـري</v>
          </cell>
          <cell r="E161" t="str">
            <v>مرتـب شهـر فيفـري 2017 ( صنف المستخدمين المندوبين المكلفين بمهمة الأمن )</v>
          </cell>
          <cell r="F161">
            <v>8100</v>
          </cell>
          <cell r="G161">
            <v>0</v>
          </cell>
          <cell r="H161">
            <v>0</v>
          </cell>
          <cell r="I161">
            <v>0</v>
          </cell>
          <cell r="J161">
            <v>0</v>
          </cell>
          <cell r="K161">
            <v>0</v>
          </cell>
          <cell r="L161">
            <v>0</v>
          </cell>
          <cell r="M161">
            <v>0</v>
          </cell>
          <cell r="N161">
            <v>0</v>
          </cell>
          <cell r="O161">
            <v>0</v>
          </cell>
          <cell r="P161">
            <v>0</v>
          </cell>
          <cell r="Q161">
            <v>0</v>
          </cell>
        </row>
        <row r="162">
          <cell r="A162">
            <v>62</v>
          </cell>
          <cell r="B162" t="str">
            <v>33 ـ 13</v>
          </cell>
          <cell r="C162" t="str">
            <v>2017/02/01</v>
          </cell>
          <cell r="D162" t="str">
            <v>فيفـري</v>
          </cell>
          <cell r="E162" t="str">
            <v>مرتـب شهـر فيفـري 2017 ( صنف المستخدمين المندوبين المكلفين بمهمة الأمن )</v>
          </cell>
          <cell r="F162">
            <v>68753.460000000006</v>
          </cell>
          <cell r="G162">
            <v>0</v>
          </cell>
          <cell r="H162">
            <v>0</v>
          </cell>
          <cell r="I162">
            <v>0</v>
          </cell>
          <cell r="J162">
            <v>0</v>
          </cell>
          <cell r="K162">
            <v>0</v>
          </cell>
          <cell r="L162">
            <v>0</v>
          </cell>
          <cell r="M162">
            <v>0</v>
          </cell>
          <cell r="N162">
            <v>0</v>
          </cell>
          <cell r="O162">
            <v>0</v>
          </cell>
          <cell r="P162">
            <v>0</v>
          </cell>
          <cell r="Q162">
            <v>0</v>
          </cell>
        </row>
        <row r="163">
          <cell r="A163">
            <v>63</v>
          </cell>
          <cell r="B163" t="str">
            <v>31 ـ 13</v>
          </cell>
          <cell r="C163" t="str">
            <v>2017/02/01</v>
          </cell>
          <cell r="D163" t="str">
            <v>فيفـري</v>
          </cell>
          <cell r="E163" t="str">
            <v>مرتـب شهـر فيفـري 2017 ( صنف المستخدمين أعوان الوقاية ومتعاقدين توقيت كلي و جزئي )</v>
          </cell>
          <cell r="F163">
            <v>115354.24000000001</v>
          </cell>
          <cell r="G163">
            <v>0</v>
          </cell>
          <cell r="H163">
            <v>0</v>
          </cell>
          <cell r="I163">
            <v>0</v>
          </cell>
          <cell r="J163">
            <v>0</v>
          </cell>
          <cell r="K163">
            <v>0</v>
          </cell>
          <cell r="L163">
            <v>0</v>
          </cell>
          <cell r="M163">
            <v>0</v>
          </cell>
          <cell r="N163">
            <v>0</v>
          </cell>
          <cell r="O163">
            <v>0</v>
          </cell>
          <cell r="P163">
            <v>0</v>
          </cell>
          <cell r="Q163">
            <v>0</v>
          </cell>
        </row>
        <row r="164">
          <cell r="A164">
            <v>63</v>
          </cell>
          <cell r="B164" t="str">
            <v>31 ـ 13</v>
          </cell>
          <cell r="C164" t="str">
            <v>2017/02/01</v>
          </cell>
          <cell r="D164" t="str">
            <v>فيفـري</v>
          </cell>
          <cell r="E164" t="str">
            <v>مرتـب شهـر فيفـري 2017 ( صنف المستخدمين أعوان الوقاية ومتعاقدين توقيت كلي و جزئي )</v>
          </cell>
          <cell r="F164">
            <v>79368.89</v>
          </cell>
          <cell r="G164">
            <v>0</v>
          </cell>
          <cell r="H164">
            <v>0</v>
          </cell>
          <cell r="I164">
            <v>0</v>
          </cell>
          <cell r="J164">
            <v>0</v>
          </cell>
          <cell r="K164">
            <v>0</v>
          </cell>
          <cell r="L164">
            <v>0</v>
          </cell>
          <cell r="M164">
            <v>0</v>
          </cell>
          <cell r="N164">
            <v>0</v>
          </cell>
          <cell r="O164">
            <v>0</v>
          </cell>
          <cell r="P164">
            <v>0</v>
          </cell>
          <cell r="Q164">
            <v>0</v>
          </cell>
        </row>
        <row r="165">
          <cell r="A165">
            <v>63</v>
          </cell>
          <cell r="B165" t="str">
            <v>31 ـ 13</v>
          </cell>
          <cell r="C165" t="str">
            <v>2017/02/01</v>
          </cell>
          <cell r="D165" t="str">
            <v>فيفـري</v>
          </cell>
          <cell r="E165" t="str">
            <v>مرتـب شهـر فيفـري 2017 ( صنف المستخدمين أعوان الوقاية ومتعاقدين توقيت كلي و جزئي )</v>
          </cell>
          <cell r="F165">
            <v>11111.25</v>
          </cell>
          <cell r="G165">
            <v>0</v>
          </cell>
          <cell r="H165">
            <v>0</v>
          </cell>
          <cell r="I165">
            <v>0</v>
          </cell>
          <cell r="J165">
            <v>0</v>
          </cell>
          <cell r="K165">
            <v>0</v>
          </cell>
          <cell r="L165">
            <v>0</v>
          </cell>
          <cell r="M165">
            <v>0</v>
          </cell>
          <cell r="N165">
            <v>0</v>
          </cell>
          <cell r="O165">
            <v>0</v>
          </cell>
          <cell r="P165">
            <v>0</v>
          </cell>
          <cell r="Q165">
            <v>0</v>
          </cell>
        </row>
        <row r="166">
          <cell r="A166">
            <v>64</v>
          </cell>
          <cell r="B166" t="str">
            <v>31 ـ 13</v>
          </cell>
          <cell r="C166" t="str">
            <v>2017/02/01</v>
          </cell>
          <cell r="D166" t="str">
            <v>فيفـري</v>
          </cell>
          <cell r="E166" t="str">
            <v>مرتـب شهـر فيفـري 2017 ( صنف المستخدمين أعوان الوقاية ومتعاقدين توقيت كلي و جزئي )</v>
          </cell>
          <cell r="F166">
            <v>154653.69</v>
          </cell>
          <cell r="G166">
            <v>0</v>
          </cell>
          <cell r="H166">
            <v>0</v>
          </cell>
          <cell r="I166">
            <v>0</v>
          </cell>
          <cell r="J166">
            <v>0</v>
          </cell>
          <cell r="K166">
            <v>0</v>
          </cell>
          <cell r="L166">
            <v>0</v>
          </cell>
          <cell r="M166">
            <v>0</v>
          </cell>
          <cell r="N166">
            <v>0</v>
          </cell>
          <cell r="O166">
            <v>0</v>
          </cell>
          <cell r="P166">
            <v>0</v>
          </cell>
          <cell r="Q166">
            <v>0</v>
          </cell>
        </row>
        <row r="167">
          <cell r="A167">
            <v>64</v>
          </cell>
          <cell r="B167" t="str">
            <v>31 ـ 13</v>
          </cell>
          <cell r="C167" t="str">
            <v>2017/02/01</v>
          </cell>
          <cell r="D167" t="str">
            <v>فيفـري</v>
          </cell>
          <cell r="E167" t="str">
            <v>مرتـب شهـر فيفـري 2017 ( صنف المستخدمين أعوان الوقاية ومتعاقدين توقيت كلي و جزئي )</v>
          </cell>
          <cell r="F167">
            <v>111491.41</v>
          </cell>
          <cell r="G167">
            <v>0</v>
          </cell>
          <cell r="H167">
            <v>0</v>
          </cell>
          <cell r="I167">
            <v>0</v>
          </cell>
          <cell r="J167">
            <v>0</v>
          </cell>
          <cell r="K167">
            <v>0</v>
          </cell>
          <cell r="L167">
            <v>0</v>
          </cell>
          <cell r="M167">
            <v>0</v>
          </cell>
          <cell r="N167">
            <v>0</v>
          </cell>
          <cell r="O167">
            <v>0</v>
          </cell>
          <cell r="P167">
            <v>0</v>
          </cell>
          <cell r="Q167">
            <v>0</v>
          </cell>
        </row>
        <row r="168">
          <cell r="A168">
            <v>64</v>
          </cell>
          <cell r="B168" t="str">
            <v>31 ـ 13</v>
          </cell>
          <cell r="C168" t="str">
            <v>2017/02/01</v>
          </cell>
          <cell r="D168" t="str">
            <v>فيفـري</v>
          </cell>
          <cell r="E168" t="str">
            <v>مرتـب شهـر فيفـري 2017 ( صنف المستخدمين أعوان الوقاية ومتعاقدين توقيت كلي و جزئي )</v>
          </cell>
          <cell r="F168">
            <v>14500</v>
          </cell>
          <cell r="G168">
            <v>0</v>
          </cell>
          <cell r="H168">
            <v>0</v>
          </cell>
          <cell r="I168">
            <v>0</v>
          </cell>
          <cell r="J168">
            <v>0</v>
          </cell>
          <cell r="K168">
            <v>0</v>
          </cell>
          <cell r="L168">
            <v>0</v>
          </cell>
          <cell r="M168">
            <v>0</v>
          </cell>
          <cell r="N168">
            <v>0</v>
          </cell>
          <cell r="O168">
            <v>0</v>
          </cell>
          <cell r="P168">
            <v>0</v>
          </cell>
          <cell r="Q168">
            <v>0</v>
          </cell>
        </row>
        <row r="169">
          <cell r="A169">
            <v>65</v>
          </cell>
          <cell r="B169" t="str">
            <v>31 ـ 13</v>
          </cell>
          <cell r="C169" t="str">
            <v>2017/02/01</v>
          </cell>
          <cell r="D169" t="str">
            <v>فيفـري</v>
          </cell>
          <cell r="E169" t="str">
            <v>مرتـب شهـر فيفـري 2017 ( صنف المستخدمين أعوان الوقاية ومتعاقدين توقيت كلي و جزئي )</v>
          </cell>
          <cell r="F169">
            <v>71926.66</v>
          </cell>
          <cell r="G169">
            <v>0</v>
          </cell>
          <cell r="H169">
            <v>0</v>
          </cell>
          <cell r="I169">
            <v>0</v>
          </cell>
          <cell r="J169">
            <v>0</v>
          </cell>
          <cell r="K169">
            <v>0</v>
          </cell>
          <cell r="L169">
            <v>0</v>
          </cell>
          <cell r="M169">
            <v>0</v>
          </cell>
          <cell r="N169">
            <v>0</v>
          </cell>
          <cell r="O169">
            <v>0</v>
          </cell>
          <cell r="P169">
            <v>0</v>
          </cell>
          <cell r="Q169">
            <v>0</v>
          </cell>
        </row>
        <row r="170">
          <cell r="A170">
            <v>65</v>
          </cell>
          <cell r="B170" t="str">
            <v>31 ـ 13</v>
          </cell>
          <cell r="C170" t="str">
            <v>2017/02/01</v>
          </cell>
          <cell r="D170" t="str">
            <v>فيفـري</v>
          </cell>
          <cell r="E170" t="str">
            <v>مرتـب شهـر فيفـري 2017 ( صنف المستخدمين أعوان الوقاية ومتعاقدين توقيت كلي و جزئي )</v>
          </cell>
          <cell r="F170">
            <v>46221.15</v>
          </cell>
          <cell r="G170">
            <v>0</v>
          </cell>
          <cell r="H170">
            <v>0</v>
          </cell>
          <cell r="I170">
            <v>0</v>
          </cell>
          <cell r="J170">
            <v>0</v>
          </cell>
          <cell r="K170">
            <v>0</v>
          </cell>
          <cell r="L170">
            <v>0</v>
          </cell>
          <cell r="M170">
            <v>0</v>
          </cell>
          <cell r="N170">
            <v>0</v>
          </cell>
          <cell r="O170">
            <v>0</v>
          </cell>
          <cell r="P170">
            <v>0</v>
          </cell>
          <cell r="Q170">
            <v>0</v>
          </cell>
        </row>
        <row r="171">
          <cell r="A171">
            <v>65</v>
          </cell>
          <cell r="B171" t="str">
            <v>31 ـ 13</v>
          </cell>
          <cell r="C171" t="str">
            <v>2017/02/01</v>
          </cell>
          <cell r="D171" t="str">
            <v>فيفـري</v>
          </cell>
          <cell r="E171" t="str">
            <v>مرتـب شهـر فيفـري 2017 ( صنف المستخدمين أعوان الوقاية ومتعاقدين توقيت كلي و جزئي )</v>
          </cell>
          <cell r="F171">
            <v>6200</v>
          </cell>
          <cell r="G171">
            <v>0</v>
          </cell>
          <cell r="H171">
            <v>0</v>
          </cell>
          <cell r="I171">
            <v>0</v>
          </cell>
          <cell r="J171">
            <v>0</v>
          </cell>
          <cell r="K171">
            <v>0</v>
          </cell>
          <cell r="L171">
            <v>0</v>
          </cell>
          <cell r="M171">
            <v>0</v>
          </cell>
          <cell r="N171">
            <v>0</v>
          </cell>
          <cell r="O171">
            <v>0</v>
          </cell>
          <cell r="P171">
            <v>0</v>
          </cell>
          <cell r="Q171">
            <v>0</v>
          </cell>
        </row>
        <row r="172">
          <cell r="A172">
            <v>66</v>
          </cell>
          <cell r="B172" t="str">
            <v>31 ـ 13</v>
          </cell>
          <cell r="C172" t="str">
            <v>2017/02/01</v>
          </cell>
          <cell r="D172" t="str">
            <v>فيفـري</v>
          </cell>
          <cell r="E172" t="str">
            <v>مرتـب شهـر فيفـري 2017 ( صنف المستخدمين أعوان الوقاية ومتعاقدين توقيت كلي و جزئي )</v>
          </cell>
          <cell r="F172">
            <v>159982.69</v>
          </cell>
          <cell r="G172">
            <v>0</v>
          </cell>
          <cell r="H172">
            <v>0</v>
          </cell>
          <cell r="I172">
            <v>0</v>
          </cell>
          <cell r="J172">
            <v>0</v>
          </cell>
          <cell r="K172">
            <v>0</v>
          </cell>
          <cell r="L172">
            <v>0</v>
          </cell>
          <cell r="M172">
            <v>0</v>
          </cell>
          <cell r="N172">
            <v>0</v>
          </cell>
          <cell r="O172">
            <v>0</v>
          </cell>
          <cell r="P172">
            <v>0</v>
          </cell>
          <cell r="Q172">
            <v>0</v>
          </cell>
        </row>
        <row r="173">
          <cell r="A173">
            <v>66</v>
          </cell>
          <cell r="B173" t="str">
            <v>31 ـ 13</v>
          </cell>
          <cell r="C173" t="str">
            <v>2017/02/01</v>
          </cell>
          <cell r="D173" t="str">
            <v>فيفـري</v>
          </cell>
          <cell r="E173" t="str">
            <v>مرتـب شهـر فيفـري 2017 ( صنف المستخدمين أعوان الوقاية ومتعاقدين توقيت كلي و جزئي )</v>
          </cell>
          <cell r="F173">
            <v>103251.61</v>
          </cell>
          <cell r="G173">
            <v>0</v>
          </cell>
          <cell r="H173">
            <v>0</v>
          </cell>
          <cell r="I173">
            <v>0</v>
          </cell>
          <cell r="J173">
            <v>0</v>
          </cell>
          <cell r="K173">
            <v>0</v>
          </cell>
          <cell r="L173">
            <v>0</v>
          </cell>
          <cell r="M173">
            <v>0</v>
          </cell>
          <cell r="N173">
            <v>0</v>
          </cell>
          <cell r="O173">
            <v>0</v>
          </cell>
          <cell r="P173">
            <v>0</v>
          </cell>
          <cell r="Q173">
            <v>0</v>
          </cell>
        </row>
        <row r="174">
          <cell r="A174">
            <v>66</v>
          </cell>
          <cell r="B174" t="str">
            <v>31 ـ 13</v>
          </cell>
          <cell r="C174" t="str">
            <v>2017/02/01</v>
          </cell>
          <cell r="D174" t="str">
            <v>فيفـري</v>
          </cell>
          <cell r="E174" t="str">
            <v>مرتـب شهـر فيفـري 2017 ( صنف المستخدمين أعوان الوقاية ومتعاقدين توقيت كلي و جزئي )</v>
          </cell>
          <cell r="F174">
            <v>14822.5</v>
          </cell>
          <cell r="G174">
            <v>0</v>
          </cell>
          <cell r="H174">
            <v>0</v>
          </cell>
          <cell r="I174">
            <v>0</v>
          </cell>
          <cell r="J174">
            <v>0</v>
          </cell>
          <cell r="K174">
            <v>0</v>
          </cell>
          <cell r="L174">
            <v>0</v>
          </cell>
          <cell r="M174">
            <v>0</v>
          </cell>
          <cell r="N174">
            <v>0</v>
          </cell>
          <cell r="O174">
            <v>0</v>
          </cell>
          <cell r="P174">
            <v>0</v>
          </cell>
          <cell r="Q174">
            <v>0</v>
          </cell>
        </row>
        <row r="175">
          <cell r="A175">
            <v>67</v>
          </cell>
          <cell r="B175" t="str">
            <v>31 ـ 13</v>
          </cell>
          <cell r="C175" t="str">
            <v>2017/02/01</v>
          </cell>
          <cell r="D175" t="str">
            <v>فيفـري</v>
          </cell>
          <cell r="E175" t="str">
            <v>مرتـب شهـر فيفـري 2017 ( صنف المستخدمين أعوان الوقاية ومتعاقدين توقيت كلي و جزئي )</v>
          </cell>
          <cell r="F175">
            <v>1055393.19</v>
          </cell>
          <cell r="G175">
            <v>0</v>
          </cell>
          <cell r="H175">
            <v>0</v>
          </cell>
          <cell r="I175">
            <v>0</v>
          </cell>
          <cell r="J175">
            <v>0</v>
          </cell>
          <cell r="K175">
            <v>0</v>
          </cell>
          <cell r="L175">
            <v>0</v>
          </cell>
          <cell r="M175">
            <v>0</v>
          </cell>
          <cell r="N175">
            <v>0</v>
          </cell>
          <cell r="O175">
            <v>0</v>
          </cell>
          <cell r="P175">
            <v>0</v>
          </cell>
          <cell r="Q175">
            <v>0</v>
          </cell>
        </row>
        <row r="176">
          <cell r="A176">
            <v>67</v>
          </cell>
          <cell r="B176" t="str">
            <v>31 ـ 13</v>
          </cell>
          <cell r="C176" t="str">
            <v>2017/02/01</v>
          </cell>
          <cell r="D176" t="str">
            <v>فيفـري</v>
          </cell>
          <cell r="E176" t="str">
            <v>مرتـب شهـر فيفـري 2017 ( صنف المستخدمين أعوان الوقاية ومتعاقدين توقيت كلي و جزئي )</v>
          </cell>
          <cell r="F176">
            <v>762236.42</v>
          </cell>
          <cell r="G176">
            <v>0</v>
          </cell>
          <cell r="H176">
            <v>0</v>
          </cell>
          <cell r="I176">
            <v>0</v>
          </cell>
          <cell r="J176">
            <v>0</v>
          </cell>
          <cell r="K176">
            <v>0</v>
          </cell>
          <cell r="L176">
            <v>0</v>
          </cell>
          <cell r="M176">
            <v>0</v>
          </cell>
          <cell r="N176">
            <v>0</v>
          </cell>
          <cell r="O176">
            <v>0</v>
          </cell>
          <cell r="P176">
            <v>0</v>
          </cell>
          <cell r="Q176">
            <v>0</v>
          </cell>
        </row>
        <row r="177">
          <cell r="A177">
            <v>67</v>
          </cell>
          <cell r="B177" t="str">
            <v>31 ـ 13</v>
          </cell>
          <cell r="C177" t="str">
            <v>2017/02/01</v>
          </cell>
          <cell r="D177" t="str">
            <v>فيفـري</v>
          </cell>
          <cell r="E177" t="str">
            <v>مرتـب شهـر فيفـري 2017 ( صنف المستخدمين أعوان الوقاية ومتعاقدين توقيت كلي و جزئي )</v>
          </cell>
          <cell r="F177">
            <v>95857.5</v>
          </cell>
          <cell r="G177">
            <v>0</v>
          </cell>
          <cell r="H177">
            <v>0</v>
          </cell>
          <cell r="I177">
            <v>0</v>
          </cell>
          <cell r="J177">
            <v>0</v>
          </cell>
          <cell r="K177">
            <v>0</v>
          </cell>
          <cell r="L177">
            <v>0</v>
          </cell>
          <cell r="M177">
            <v>0</v>
          </cell>
          <cell r="N177">
            <v>0</v>
          </cell>
          <cell r="O177">
            <v>0</v>
          </cell>
          <cell r="P177">
            <v>0</v>
          </cell>
          <cell r="Q177">
            <v>0</v>
          </cell>
        </row>
        <row r="178">
          <cell r="A178">
            <v>68</v>
          </cell>
          <cell r="B178" t="str">
            <v>31 ـ 13</v>
          </cell>
          <cell r="C178" t="str">
            <v>2017/02/01</v>
          </cell>
          <cell r="D178" t="str">
            <v>فيفـري</v>
          </cell>
          <cell r="E178" t="str">
            <v>مرتـب شهـر فيفـري 2017 ( صنف المستخدمين أعوان الوقاية ومتعاقدين توقيت كلي و جزئي )</v>
          </cell>
          <cell r="F178">
            <v>46646.05</v>
          </cell>
          <cell r="G178">
            <v>0</v>
          </cell>
          <cell r="H178">
            <v>0</v>
          </cell>
          <cell r="I178">
            <v>0</v>
          </cell>
          <cell r="J178">
            <v>0</v>
          </cell>
          <cell r="K178">
            <v>0</v>
          </cell>
          <cell r="L178">
            <v>0</v>
          </cell>
          <cell r="M178">
            <v>0</v>
          </cell>
          <cell r="N178">
            <v>0</v>
          </cell>
          <cell r="O178">
            <v>0</v>
          </cell>
          <cell r="P178">
            <v>0</v>
          </cell>
          <cell r="Q178">
            <v>0</v>
          </cell>
        </row>
        <row r="179">
          <cell r="A179">
            <v>68</v>
          </cell>
          <cell r="B179" t="str">
            <v>31 ـ 13</v>
          </cell>
          <cell r="C179" t="str">
            <v>2017/02/01</v>
          </cell>
          <cell r="D179" t="str">
            <v>فيفـري</v>
          </cell>
          <cell r="E179" t="str">
            <v>مرتـب شهـر فيفـري 2017 ( صنف المستخدمين أعوان الوقاية ومتعاقدين توقيت كلي و جزئي )</v>
          </cell>
          <cell r="F179">
            <v>34439.019999999997</v>
          </cell>
          <cell r="G179">
            <v>0</v>
          </cell>
          <cell r="H179">
            <v>0</v>
          </cell>
          <cell r="I179">
            <v>0</v>
          </cell>
          <cell r="J179">
            <v>0</v>
          </cell>
          <cell r="K179">
            <v>0</v>
          </cell>
          <cell r="L179">
            <v>0</v>
          </cell>
          <cell r="M179">
            <v>0</v>
          </cell>
          <cell r="N179">
            <v>0</v>
          </cell>
          <cell r="O179">
            <v>0</v>
          </cell>
          <cell r="P179">
            <v>0</v>
          </cell>
          <cell r="Q179">
            <v>0</v>
          </cell>
        </row>
        <row r="180">
          <cell r="A180">
            <v>68</v>
          </cell>
          <cell r="B180" t="str">
            <v>31 ـ 13</v>
          </cell>
          <cell r="C180" t="str">
            <v>2017/02/01</v>
          </cell>
          <cell r="D180" t="str">
            <v>فيفـري</v>
          </cell>
          <cell r="E180" t="str">
            <v>مرتـب شهـر فيفـري 2017 ( صنف المستخدمين أعوان الوقاية ومتعاقدين توقيت كلي و جزئي )</v>
          </cell>
          <cell r="F180">
            <v>4300</v>
          </cell>
          <cell r="G180">
            <v>0</v>
          </cell>
          <cell r="H180">
            <v>0</v>
          </cell>
          <cell r="I180">
            <v>0</v>
          </cell>
          <cell r="J180">
            <v>0</v>
          </cell>
          <cell r="K180">
            <v>0</v>
          </cell>
          <cell r="L180">
            <v>0</v>
          </cell>
          <cell r="M180">
            <v>0</v>
          </cell>
          <cell r="N180">
            <v>0</v>
          </cell>
          <cell r="O180">
            <v>0</v>
          </cell>
          <cell r="P180">
            <v>0</v>
          </cell>
          <cell r="Q180">
            <v>0</v>
          </cell>
        </row>
        <row r="181">
          <cell r="A181">
            <v>69</v>
          </cell>
          <cell r="B181" t="str">
            <v>31 ـ 13</v>
          </cell>
          <cell r="C181" t="str">
            <v>2017/02/01</v>
          </cell>
          <cell r="D181" t="str">
            <v>فيفـري</v>
          </cell>
          <cell r="E181" t="str">
            <v>مرتـب شهـر فيفـري 2017 ( صنف المستخدمين عمال مهنيين عقد محدد المدة توقيت جزئي )</v>
          </cell>
          <cell r="F181">
            <v>14236.94</v>
          </cell>
          <cell r="G181">
            <v>0</v>
          </cell>
          <cell r="H181">
            <v>0</v>
          </cell>
          <cell r="I181">
            <v>0</v>
          </cell>
          <cell r="J181">
            <v>0</v>
          </cell>
          <cell r="K181">
            <v>0</v>
          </cell>
          <cell r="L181">
            <v>0</v>
          </cell>
          <cell r="M181">
            <v>0</v>
          </cell>
          <cell r="N181">
            <v>0</v>
          </cell>
          <cell r="O181">
            <v>0</v>
          </cell>
          <cell r="P181">
            <v>0</v>
          </cell>
          <cell r="Q181">
            <v>0</v>
          </cell>
        </row>
        <row r="182">
          <cell r="A182">
            <v>69</v>
          </cell>
          <cell r="B182" t="str">
            <v>31 ـ 13</v>
          </cell>
          <cell r="C182" t="str">
            <v>2017/02/01</v>
          </cell>
          <cell r="D182" t="str">
            <v>فيفـري</v>
          </cell>
          <cell r="E182" t="str">
            <v>مرتـب شهـر فيفـري 2017 ( صنف المستخدمين عمال مهنيين عقد محدد المدة توقيت جزئي )</v>
          </cell>
          <cell r="F182">
            <v>13753.79</v>
          </cell>
          <cell r="G182">
            <v>0</v>
          </cell>
          <cell r="H182">
            <v>0</v>
          </cell>
          <cell r="I182">
            <v>0</v>
          </cell>
          <cell r="J182">
            <v>0</v>
          </cell>
          <cell r="K182">
            <v>0</v>
          </cell>
          <cell r="L182">
            <v>0</v>
          </cell>
          <cell r="M182">
            <v>0</v>
          </cell>
          <cell r="N182">
            <v>0</v>
          </cell>
          <cell r="O182">
            <v>0</v>
          </cell>
          <cell r="P182">
            <v>0</v>
          </cell>
          <cell r="Q182">
            <v>0</v>
          </cell>
        </row>
        <row r="183">
          <cell r="A183">
            <v>70</v>
          </cell>
          <cell r="B183" t="str">
            <v>31 ـ 13</v>
          </cell>
          <cell r="C183" t="str">
            <v>2017/02/01</v>
          </cell>
          <cell r="D183" t="str">
            <v>فيفـري</v>
          </cell>
          <cell r="E183" t="str">
            <v>مرتـب شهـر فيفـري 2017 ( صنف المستخدمين عمال مهنيين عقد محدد المدة توقيت جزئي )</v>
          </cell>
          <cell r="F183">
            <v>17109.63</v>
          </cell>
          <cell r="G183">
            <v>0</v>
          </cell>
          <cell r="H183">
            <v>0</v>
          </cell>
          <cell r="I183">
            <v>0</v>
          </cell>
          <cell r="J183">
            <v>0</v>
          </cell>
          <cell r="K183">
            <v>0</v>
          </cell>
          <cell r="L183">
            <v>0</v>
          </cell>
          <cell r="M183">
            <v>0</v>
          </cell>
          <cell r="N183">
            <v>0</v>
          </cell>
          <cell r="O183">
            <v>0</v>
          </cell>
          <cell r="P183">
            <v>0</v>
          </cell>
          <cell r="Q183">
            <v>0</v>
          </cell>
        </row>
        <row r="184">
          <cell r="A184">
            <v>70</v>
          </cell>
          <cell r="B184" t="str">
            <v>31 ـ 13</v>
          </cell>
          <cell r="C184" t="str">
            <v>2017/02/01</v>
          </cell>
          <cell r="D184" t="str">
            <v>فيفـري</v>
          </cell>
          <cell r="E184" t="str">
            <v>مرتـب شهـر فيفـري 2017 ( صنف المستخدمين عمال مهنيين عقد محدد المدة توقيت جزئي )</v>
          </cell>
          <cell r="F184">
            <v>20424.43</v>
          </cell>
          <cell r="G184">
            <v>0</v>
          </cell>
          <cell r="H184">
            <v>0</v>
          </cell>
          <cell r="I184">
            <v>0</v>
          </cell>
          <cell r="J184">
            <v>0</v>
          </cell>
          <cell r="K184">
            <v>0</v>
          </cell>
          <cell r="L184">
            <v>0</v>
          </cell>
          <cell r="M184">
            <v>0</v>
          </cell>
          <cell r="N184">
            <v>0</v>
          </cell>
          <cell r="O184">
            <v>0</v>
          </cell>
          <cell r="P184">
            <v>0</v>
          </cell>
          <cell r="Q184">
            <v>0</v>
          </cell>
        </row>
        <row r="185">
          <cell r="A185">
            <v>70</v>
          </cell>
          <cell r="B185" t="str">
            <v>31 ـ 13</v>
          </cell>
          <cell r="C185" t="str">
            <v>2017/02/01</v>
          </cell>
          <cell r="D185" t="str">
            <v>فيفـري</v>
          </cell>
          <cell r="E185" t="str">
            <v>مرتـب شهـر فيفـري 2017 ( صنف المستخدمين عمال مهنيين عقد محدد المدة توقيت جزئي )</v>
          </cell>
          <cell r="F185">
            <v>2922.5</v>
          </cell>
          <cell r="G185">
            <v>0</v>
          </cell>
          <cell r="H185">
            <v>0</v>
          </cell>
          <cell r="I185">
            <v>0</v>
          </cell>
          <cell r="J185">
            <v>0</v>
          </cell>
          <cell r="K185">
            <v>0</v>
          </cell>
          <cell r="L185">
            <v>0</v>
          </cell>
          <cell r="M185">
            <v>0</v>
          </cell>
          <cell r="N185">
            <v>0</v>
          </cell>
          <cell r="O185">
            <v>0</v>
          </cell>
          <cell r="P185">
            <v>0</v>
          </cell>
          <cell r="Q185">
            <v>0</v>
          </cell>
        </row>
        <row r="186">
          <cell r="A186">
            <v>71</v>
          </cell>
          <cell r="B186" t="str">
            <v>31 ـ 13</v>
          </cell>
          <cell r="C186" t="str">
            <v>2017/02/01</v>
          </cell>
          <cell r="D186" t="str">
            <v>فيفـري</v>
          </cell>
          <cell r="E186" t="str">
            <v>مرتـب شهـر فيفـري 2017 ( صنف المستخدمين أعوان الوقاية عقد محدد المدة توقيت جزئي 05 سا و 08 سا )</v>
          </cell>
          <cell r="F186">
            <v>701622.47</v>
          </cell>
          <cell r="G186">
            <v>0</v>
          </cell>
          <cell r="H186">
            <v>0</v>
          </cell>
          <cell r="I186">
            <v>0</v>
          </cell>
          <cell r="J186">
            <v>0</v>
          </cell>
          <cell r="K186">
            <v>0</v>
          </cell>
          <cell r="L186">
            <v>0</v>
          </cell>
          <cell r="M186">
            <v>0</v>
          </cell>
          <cell r="N186">
            <v>0</v>
          </cell>
          <cell r="O186">
            <v>0</v>
          </cell>
          <cell r="P186">
            <v>0</v>
          </cell>
          <cell r="Q186">
            <v>0</v>
          </cell>
        </row>
        <row r="187">
          <cell r="A187">
            <v>72</v>
          </cell>
          <cell r="B187" t="str">
            <v>31 ـ 13</v>
          </cell>
          <cell r="C187" t="str">
            <v>2017/02/01</v>
          </cell>
          <cell r="D187" t="str">
            <v>فيفـري</v>
          </cell>
          <cell r="E187" t="str">
            <v>مرتـب شهـر فيفـري 2017 ( صنف المستخدمين توقيت جزئي )</v>
          </cell>
          <cell r="F187">
            <v>26074.33</v>
          </cell>
          <cell r="G187">
            <v>0</v>
          </cell>
          <cell r="H187">
            <v>0</v>
          </cell>
          <cell r="I187">
            <v>0</v>
          </cell>
          <cell r="J187">
            <v>0</v>
          </cell>
          <cell r="K187">
            <v>0</v>
          </cell>
          <cell r="L187">
            <v>0</v>
          </cell>
          <cell r="M187">
            <v>0</v>
          </cell>
          <cell r="N187">
            <v>0</v>
          </cell>
          <cell r="O187">
            <v>0</v>
          </cell>
          <cell r="P187">
            <v>0</v>
          </cell>
          <cell r="Q187">
            <v>0</v>
          </cell>
        </row>
        <row r="188">
          <cell r="A188">
            <v>72</v>
          </cell>
          <cell r="B188" t="str">
            <v>31 ـ 13</v>
          </cell>
          <cell r="C188" t="str">
            <v>2017/02/01</v>
          </cell>
          <cell r="D188" t="str">
            <v>فيفـري</v>
          </cell>
          <cell r="E188" t="str">
            <v>مرتـب شهـر فيفـري 2017 ( صنف المستخدمين توقيت جزئي )</v>
          </cell>
          <cell r="F188">
            <v>21361.32</v>
          </cell>
          <cell r="G188">
            <v>0</v>
          </cell>
          <cell r="H188">
            <v>0</v>
          </cell>
          <cell r="I188">
            <v>0</v>
          </cell>
          <cell r="J188">
            <v>0</v>
          </cell>
          <cell r="K188">
            <v>0</v>
          </cell>
          <cell r="L188">
            <v>0</v>
          </cell>
          <cell r="M188">
            <v>0</v>
          </cell>
          <cell r="N188">
            <v>0</v>
          </cell>
          <cell r="O188">
            <v>0</v>
          </cell>
          <cell r="P188">
            <v>0</v>
          </cell>
          <cell r="Q188">
            <v>0</v>
          </cell>
        </row>
        <row r="189">
          <cell r="A189">
            <v>72</v>
          </cell>
          <cell r="B189" t="str">
            <v>31 ـ 13</v>
          </cell>
          <cell r="C189" t="str">
            <v>2017/02/01</v>
          </cell>
          <cell r="D189" t="str">
            <v>فيفـري</v>
          </cell>
          <cell r="E189" t="str">
            <v>مرتـب شهـر فيفـري 2017 ( صنف المستخدمين توقيت جزئي )</v>
          </cell>
          <cell r="F189">
            <v>2811.25</v>
          </cell>
          <cell r="G189">
            <v>0</v>
          </cell>
          <cell r="H189">
            <v>0</v>
          </cell>
          <cell r="I189">
            <v>0</v>
          </cell>
          <cell r="J189">
            <v>0</v>
          </cell>
          <cell r="K189">
            <v>0</v>
          </cell>
          <cell r="L189">
            <v>0</v>
          </cell>
          <cell r="M189">
            <v>0</v>
          </cell>
          <cell r="N189">
            <v>0</v>
          </cell>
          <cell r="O189">
            <v>0</v>
          </cell>
          <cell r="P189">
            <v>0</v>
          </cell>
          <cell r="Q189">
            <v>0</v>
          </cell>
        </row>
        <row r="190">
          <cell r="A190">
            <v>73</v>
          </cell>
          <cell r="B190" t="str">
            <v>31 ـ 13</v>
          </cell>
          <cell r="C190" t="str">
            <v>2017/02/01</v>
          </cell>
          <cell r="D190" t="str">
            <v>فيفـري</v>
          </cell>
          <cell r="E190" t="str">
            <v>مرتـب شهـر فيفـري 2017 ( صنف المستخدمين توقيت جزئي )</v>
          </cell>
          <cell r="F190">
            <v>130376.51</v>
          </cell>
          <cell r="G190">
            <v>0</v>
          </cell>
          <cell r="H190">
            <v>0</v>
          </cell>
          <cell r="I190">
            <v>0</v>
          </cell>
          <cell r="J190">
            <v>0</v>
          </cell>
          <cell r="K190">
            <v>0</v>
          </cell>
          <cell r="L190">
            <v>0</v>
          </cell>
          <cell r="M190">
            <v>0</v>
          </cell>
          <cell r="N190">
            <v>0</v>
          </cell>
          <cell r="O190">
            <v>0</v>
          </cell>
          <cell r="P190">
            <v>0</v>
          </cell>
          <cell r="Q190">
            <v>0</v>
          </cell>
        </row>
        <row r="191">
          <cell r="A191">
            <v>73</v>
          </cell>
          <cell r="B191" t="str">
            <v>31 ـ 13</v>
          </cell>
          <cell r="C191" t="str">
            <v>2017/02/01</v>
          </cell>
          <cell r="D191" t="str">
            <v>فيفـري</v>
          </cell>
          <cell r="E191" t="str">
            <v>مرتـب شهـر فيفـري 2017 ( صنف المستخدمين توقيت جزئي )</v>
          </cell>
          <cell r="F191">
            <v>106945.37</v>
          </cell>
          <cell r="G191">
            <v>0</v>
          </cell>
          <cell r="H191">
            <v>0</v>
          </cell>
          <cell r="I191">
            <v>0</v>
          </cell>
          <cell r="J191">
            <v>0</v>
          </cell>
          <cell r="K191">
            <v>0</v>
          </cell>
          <cell r="L191">
            <v>0</v>
          </cell>
          <cell r="M191">
            <v>0</v>
          </cell>
          <cell r="N191">
            <v>0</v>
          </cell>
          <cell r="O191">
            <v>0</v>
          </cell>
          <cell r="P191">
            <v>0</v>
          </cell>
          <cell r="Q191">
            <v>0</v>
          </cell>
        </row>
        <row r="192">
          <cell r="A192">
            <v>73</v>
          </cell>
          <cell r="B192" t="str">
            <v>31 ـ 13</v>
          </cell>
          <cell r="C192" t="str">
            <v>2017/02/01</v>
          </cell>
          <cell r="D192" t="str">
            <v>فيفـري</v>
          </cell>
          <cell r="E192" t="str">
            <v>مرتـب شهـر فيفـري 2017 ( صنف المستخدمين توقيت جزئي )</v>
          </cell>
          <cell r="F192">
            <v>6911.25</v>
          </cell>
          <cell r="G192">
            <v>0</v>
          </cell>
          <cell r="H192">
            <v>0</v>
          </cell>
          <cell r="I192">
            <v>0</v>
          </cell>
          <cell r="J192">
            <v>0</v>
          </cell>
          <cell r="K192">
            <v>0</v>
          </cell>
          <cell r="L192">
            <v>0</v>
          </cell>
          <cell r="M192">
            <v>0</v>
          </cell>
          <cell r="N192">
            <v>0</v>
          </cell>
          <cell r="O192">
            <v>0</v>
          </cell>
          <cell r="P192">
            <v>0</v>
          </cell>
          <cell r="Q192">
            <v>0</v>
          </cell>
        </row>
        <row r="193">
          <cell r="A193">
            <v>74</v>
          </cell>
          <cell r="B193" t="str">
            <v>31 ـ 13</v>
          </cell>
          <cell r="C193" t="str">
            <v>2017/02/01</v>
          </cell>
          <cell r="D193" t="str">
            <v>فيفـري</v>
          </cell>
          <cell r="E193" t="str">
            <v>مرتـب شهـر فيفـري 2017 ( صنف المستخدمين متعاقدين عقد غير محدد المدة بالتوقيت الكلي )</v>
          </cell>
          <cell r="F193">
            <v>14592.96</v>
          </cell>
          <cell r="G193">
            <v>0</v>
          </cell>
          <cell r="H193">
            <v>0</v>
          </cell>
          <cell r="I193">
            <v>0</v>
          </cell>
          <cell r="J193">
            <v>0</v>
          </cell>
          <cell r="K193">
            <v>0</v>
          </cell>
          <cell r="L193">
            <v>0</v>
          </cell>
          <cell r="M193">
            <v>0</v>
          </cell>
          <cell r="N193">
            <v>0</v>
          </cell>
          <cell r="O193">
            <v>0</v>
          </cell>
          <cell r="P193">
            <v>0</v>
          </cell>
          <cell r="Q193">
            <v>0</v>
          </cell>
        </row>
        <row r="194">
          <cell r="A194">
            <v>74</v>
          </cell>
          <cell r="B194" t="str">
            <v>31 ـ 13</v>
          </cell>
          <cell r="C194" t="str">
            <v>2017/02/01</v>
          </cell>
          <cell r="D194" t="str">
            <v>فيفـري</v>
          </cell>
          <cell r="E194" t="str">
            <v>مرتـب شهـر فيفـري 2017 ( صنف المستخدمين متعاقدين عقد غير محدد المدة بالتوقيت الكلي )</v>
          </cell>
          <cell r="F194">
            <v>10840.87</v>
          </cell>
          <cell r="G194">
            <v>0</v>
          </cell>
          <cell r="H194">
            <v>0</v>
          </cell>
          <cell r="I194">
            <v>0</v>
          </cell>
          <cell r="J194">
            <v>0</v>
          </cell>
          <cell r="K194">
            <v>0</v>
          </cell>
          <cell r="L194">
            <v>0</v>
          </cell>
          <cell r="M194">
            <v>0</v>
          </cell>
          <cell r="N194">
            <v>0</v>
          </cell>
          <cell r="O194">
            <v>0</v>
          </cell>
          <cell r="P194">
            <v>0</v>
          </cell>
          <cell r="Q194">
            <v>0</v>
          </cell>
        </row>
        <row r="195">
          <cell r="A195">
            <v>74</v>
          </cell>
          <cell r="B195" t="str">
            <v>31 ـ 13</v>
          </cell>
          <cell r="C195" t="str">
            <v>2017/02/01</v>
          </cell>
          <cell r="D195" t="str">
            <v>فيفـري</v>
          </cell>
          <cell r="E195" t="str">
            <v>مرتـب شهـر فيفـري 2017 ( صنف المستخدمين متعاقدين عقد غير محدد المدة بالتوقيت الكلي )</v>
          </cell>
          <cell r="F195">
            <v>1400</v>
          </cell>
          <cell r="G195">
            <v>0</v>
          </cell>
          <cell r="H195">
            <v>0</v>
          </cell>
          <cell r="I195">
            <v>0</v>
          </cell>
          <cell r="J195">
            <v>0</v>
          </cell>
          <cell r="K195">
            <v>0</v>
          </cell>
          <cell r="L195">
            <v>0</v>
          </cell>
          <cell r="M195">
            <v>0</v>
          </cell>
          <cell r="N195">
            <v>0</v>
          </cell>
          <cell r="O195">
            <v>0</v>
          </cell>
          <cell r="P195">
            <v>0</v>
          </cell>
          <cell r="Q195">
            <v>0</v>
          </cell>
        </row>
        <row r="196">
          <cell r="A196">
            <v>75</v>
          </cell>
          <cell r="B196" t="str">
            <v>31 ـ 13</v>
          </cell>
          <cell r="C196" t="str">
            <v>2017/02/01</v>
          </cell>
          <cell r="D196" t="str">
            <v>فيفـري</v>
          </cell>
          <cell r="E196" t="str">
            <v>مرتـب شهـر فيفـري 2017 ( صنف المستخدمين متعاقدين عقد غير محدد المدة بالتوقيت الكلي )</v>
          </cell>
          <cell r="F196">
            <v>26474.959999999999</v>
          </cell>
          <cell r="G196">
            <v>0</v>
          </cell>
          <cell r="H196">
            <v>0</v>
          </cell>
          <cell r="I196">
            <v>0</v>
          </cell>
          <cell r="J196">
            <v>0</v>
          </cell>
          <cell r="K196">
            <v>0</v>
          </cell>
          <cell r="L196">
            <v>0</v>
          </cell>
          <cell r="M196">
            <v>0</v>
          </cell>
          <cell r="N196">
            <v>0</v>
          </cell>
          <cell r="O196">
            <v>0</v>
          </cell>
          <cell r="P196">
            <v>0</v>
          </cell>
          <cell r="Q196">
            <v>0</v>
          </cell>
        </row>
        <row r="197">
          <cell r="A197">
            <v>75</v>
          </cell>
          <cell r="B197" t="str">
            <v>31 ـ 13</v>
          </cell>
          <cell r="C197" t="str">
            <v>2017/02/01</v>
          </cell>
          <cell r="D197" t="str">
            <v>فيفـري</v>
          </cell>
          <cell r="E197" t="str">
            <v>مرتـب شهـر فيفـري 2017 ( صنف المستخدمين متعاقدين عقد غير محدد المدة بالتوقيت الكلي )</v>
          </cell>
          <cell r="F197">
            <v>22469.84</v>
          </cell>
          <cell r="G197">
            <v>0</v>
          </cell>
          <cell r="H197">
            <v>0</v>
          </cell>
          <cell r="I197">
            <v>0</v>
          </cell>
          <cell r="J197">
            <v>0</v>
          </cell>
          <cell r="K197">
            <v>0</v>
          </cell>
          <cell r="L197">
            <v>0</v>
          </cell>
          <cell r="M197">
            <v>0</v>
          </cell>
          <cell r="N197">
            <v>0</v>
          </cell>
          <cell r="O197">
            <v>0</v>
          </cell>
          <cell r="P197">
            <v>0</v>
          </cell>
          <cell r="Q197">
            <v>0</v>
          </cell>
        </row>
        <row r="198">
          <cell r="A198">
            <v>75</v>
          </cell>
          <cell r="B198" t="str">
            <v>31 ـ 13</v>
          </cell>
          <cell r="C198" t="str">
            <v>2017/02/01</v>
          </cell>
          <cell r="D198" t="str">
            <v>فيفـري</v>
          </cell>
          <cell r="E198" t="str">
            <v>مرتـب شهـر فيفـري 2017 ( صنف المستخدمين متعاقدين عقد غير محدد المدة بالتوقيت الكلي )</v>
          </cell>
          <cell r="F198">
            <v>1700</v>
          </cell>
          <cell r="G198">
            <v>0</v>
          </cell>
          <cell r="H198">
            <v>0</v>
          </cell>
          <cell r="I198">
            <v>0</v>
          </cell>
          <cell r="J198">
            <v>0</v>
          </cell>
          <cell r="K198">
            <v>0</v>
          </cell>
          <cell r="L198">
            <v>0</v>
          </cell>
          <cell r="M198">
            <v>0</v>
          </cell>
          <cell r="N198">
            <v>0</v>
          </cell>
          <cell r="O198">
            <v>0</v>
          </cell>
          <cell r="P198">
            <v>0</v>
          </cell>
          <cell r="Q198">
            <v>0</v>
          </cell>
        </row>
        <row r="199">
          <cell r="A199">
            <v>76</v>
          </cell>
          <cell r="B199" t="str">
            <v>31 ـ 13</v>
          </cell>
          <cell r="C199" t="str">
            <v>2017/02/01</v>
          </cell>
          <cell r="D199" t="str">
            <v>فيفـري</v>
          </cell>
          <cell r="E199" t="str">
            <v>مرتـب شهـر فيفـري 2017 ( صنف المستخدمين متعاقدين عقد غير محدد المدة بالتوقيت الكلي )</v>
          </cell>
          <cell r="F199">
            <v>47165.18</v>
          </cell>
          <cell r="G199">
            <v>0</v>
          </cell>
          <cell r="H199">
            <v>0</v>
          </cell>
          <cell r="I199">
            <v>0</v>
          </cell>
          <cell r="J199">
            <v>0</v>
          </cell>
          <cell r="K199">
            <v>0</v>
          </cell>
          <cell r="L199">
            <v>0</v>
          </cell>
          <cell r="M199">
            <v>0</v>
          </cell>
          <cell r="N199">
            <v>0</v>
          </cell>
          <cell r="O199">
            <v>0</v>
          </cell>
          <cell r="P199">
            <v>0</v>
          </cell>
          <cell r="Q199">
            <v>0</v>
          </cell>
        </row>
        <row r="200">
          <cell r="A200">
            <v>76</v>
          </cell>
          <cell r="B200" t="str">
            <v>31 ـ 13</v>
          </cell>
          <cell r="C200" t="str">
            <v>2017/02/01</v>
          </cell>
          <cell r="D200" t="str">
            <v>فيفـري</v>
          </cell>
          <cell r="E200" t="str">
            <v>مرتـب شهـر فيفـري 2017 ( صنف المستخدمين متعاقدين عقد غير محدد المدة بالتوقيت الكلي )</v>
          </cell>
          <cell r="F200">
            <v>45186.559999999998</v>
          </cell>
          <cell r="G200">
            <v>0</v>
          </cell>
          <cell r="H200">
            <v>0</v>
          </cell>
          <cell r="I200">
            <v>0</v>
          </cell>
          <cell r="J200">
            <v>0</v>
          </cell>
          <cell r="K200">
            <v>0</v>
          </cell>
          <cell r="L200">
            <v>0</v>
          </cell>
          <cell r="M200">
            <v>0</v>
          </cell>
          <cell r="N200">
            <v>0</v>
          </cell>
          <cell r="O200">
            <v>0</v>
          </cell>
          <cell r="P200">
            <v>0</v>
          </cell>
          <cell r="Q200">
            <v>0</v>
          </cell>
        </row>
        <row r="201">
          <cell r="A201">
            <v>76</v>
          </cell>
          <cell r="B201" t="str">
            <v>31 ـ 13</v>
          </cell>
          <cell r="C201" t="str">
            <v>2017/02/01</v>
          </cell>
          <cell r="D201" t="str">
            <v>فيفـري</v>
          </cell>
          <cell r="E201" t="str">
            <v>مرتـب شهـر فيفـري 2017 ( صنف المستخدمين متعاقدين عقد غير محدد المدة بالتوقيت الكلي )</v>
          </cell>
          <cell r="F201">
            <v>2500</v>
          </cell>
          <cell r="G201">
            <v>0</v>
          </cell>
          <cell r="H201">
            <v>0</v>
          </cell>
          <cell r="I201">
            <v>0</v>
          </cell>
          <cell r="J201">
            <v>0</v>
          </cell>
          <cell r="K201">
            <v>0</v>
          </cell>
          <cell r="L201">
            <v>0</v>
          </cell>
          <cell r="M201">
            <v>0</v>
          </cell>
          <cell r="N201">
            <v>0</v>
          </cell>
          <cell r="O201">
            <v>0</v>
          </cell>
          <cell r="P201">
            <v>0</v>
          </cell>
          <cell r="Q201">
            <v>0</v>
          </cell>
        </row>
        <row r="202">
          <cell r="A202">
            <v>77</v>
          </cell>
          <cell r="B202" t="str">
            <v>31 ـ 13</v>
          </cell>
          <cell r="C202" t="str">
            <v>2017/02/01</v>
          </cell>
          <cell r="D202" t="str">
            <v>فيفـري</v>
          </cell>
          <cell r="E202" t="str">
            <v>مرتـب شهـر فيفـري 2017 ( صنف المستخدمين متعاقدين عقد غير محدد المدة توقيت 05 سا و 08 سا )</v>
          </cell>
          <cell r="F202">
            <v>112871.98</v>
          </cell>
          <cell r="G202">
            <v>0</v>
          </cell>
          <cell r="H202">
            <v>0</v>
          </cell>
          <cell r="I202">
            <v>0</v>
          </cell>
          <cell r="J202">
            <v>0</v>
          </cell>
          <cell r="K202">
            <v>0</v>
          </cell>
          <cell r="L202">
            <v>0</v>
          </cell>
          <cell r="M202">
            <v>0</v>
          </cell>
          <cell r="N202">
            <v>0</v>
          </cell>
          <cell r="O202">
            <v>0</v>
          </cell>
          <cell r="P202">
            <v>0</v>
          </cell>
          <cell r="Q202">
            <v>0</v>
          </cell>
        </row>
        <row r="203">
          <cell r="A203">
            <v>78</v>
          </cell>
          <cell r="B203" t="str">
            <v>32 ـ 12</v>
          </cell>
          <cell r="C203" t="str">
            <v>2017/02/02</v>
          </cell>
          <cell r="D203" t="str">
            <v>فيفـري</v>
          </cell>
          <cell r="E203" t="str">
            <v>مرتـب شهـر فيفـري 2017 ( صنف المستخدمين ضحايا الإرهاب )</v>
          </cell>
          <cell r="F203">
            <v>1624746.3</v>
          </cell>
          <cell r="G203">
            <v>0</v>
          </cell>
          <cell r="H203">
            <v>0</v>
          </cell>
          <cell r="I203">
            <v>0</v>
          </cell>
          <cell r="J203">
            <v>0</v>
          </cell>
          <cell r="K203">
            <v>0</v>
          </cell>
          <cell r="L203">
            <v>0</v>
          </cell>
          <cell r="M203">
            <v>0</v>
          </cell>
          <cell r="N203">
            <v>0</v>
          </cell>
          <cell r="O203">
            <v>0</v>
          </cell>
          <cell r="P203">
            <v>0</v>
          </cell>
          <cell r="Q203">
            <v>0</v>
          </cell>
        </row>
        <row r="204">
          <cell r="A204">
            <v>79</v>
          </cell>
          <cell r="B204" t="str">
            <v>32 ـ 12</v>
          </cell>
          <cell r="C204" t="str">
            <v>2017/02/02</v>
          </cell>
          <cell r="D204" t="str">
            <v>فيفـري</v>
          </cell>
          <cell r="E204" t="str">
            <v>مرتـب شهـر فيفـري 2017 ( صنف المستخدمين ضحايا الإرهاب )</v>
          </cell>
          <cell r="F204">
            <v>247812.37</v>
          </cell>
          <cell r="G204">
            <v>0</v>
          </cell>
          <cell r="H204">
            <v>0</v>
          </cell>
          <cell r="I204">
            <v>0</v>
          </cell>
          <cell r="J204">
            <v>0</v>
          </cell>
          <cell r="K204">
            <v>0</v>
          </cell>
          <cell r="L204">
            <v>0</v>
          </cell>
          <cell r="M204">
            <v>0</v>
          </cell>
          <cell r="N204">
            <v>0</v>
          </cell>
          <cell r="O204">
            <v>0</v>
          </cell>
          <cell r="P204">
            <v>0</v>
          </cell>
          <cell r="Q204">
            <v>0</v>
          </cell>
        </row>
        <row r="205">
          <cell r="A205">
            <v>80</v>
          </cell>
          <cell r="B205" t="str">
            <v>32 ـ 12</v>
          </cell>
          <cell r="C205" t="str">
            <v>2017/02/02</v>
          </cell>
          <cell r="D205" t="str">
            <v>فيفـري</v>
          </cell>
          <cell r="E205" t="str">
            <v>مرتـب شهـر فيفـري 2017 ( صنف المستخدمين ضحايا الإرهاب )</v>
          </cell>
          <cell r="F205">
            <v>46394.48</v>
          </cell>
          <cell r="G205">
            <v>0</v>
          </cell>
          <cell r="H205">
            <v>0</v>
          </cell>
          <cell r="I205">
            <v>0</v>
          </cell>
          <cell r="J205">
            <v>0</v>
          </cell>
          <cell r="K205">
            <v>0</v>
          </cell>
          <cell r="L205">
            <v>0</v>
          </cell>
          <cell r="M205">
            <v>0</v>
          </cell>
          <cell r="N205">
            <v>0</v>
          </cell>
          <cell r="O205">
            <v>0</v>
          </cell>
          <cell r="P205">
            <v>0</v>
          </cell>
          <cell r="Q205">
            <v>0</v>
          </cell>
        </row>
        <row r="206">
          <cell r="A206">
            <v>81</v>
          </cell>
          <cell r="B206" t="str">
            <v>31 ـ 11</v>
          </cell>
          <cell r="C206" t="str">
            <v>2017/02/20</v>
          </cell>
          <cell r="D206" t="str">
            <v>فيفـري</v>
          </cell>
          <cell r="E206" t="str">
            <v>مرتـب شهـر فيفـري 2017 ( صنف المستخدمين موظفين مختلف )</v>
          </cell>
          <cell r="F206">
            <v>197334</v>
          </cell>
          <cell r="G206">
            <v>0</v>
          </cell>
          <cell r="H206">
            <v>0</v>
          </cell>
          <cell r="I206">
            <v>0</v>
          </cell>
          <cell r="J206">
            <v>0</v>
          </cell>
          <cell r="K206">
            <v>0</v>
          </cell>
          <cell r="L206">
            <v>0</v>
          </cell>
          <cell r="M206">
            <v>0</v>
          </cell>
          <cell r="N206">
            <v>0</v>
          </cell>
          <cell r="O206">
            <v>0</v>
          </cell>
          <cell r="P206">
            <v>0</v>
          </cell>
          <cell r="Q206">
            <v>0</v>
          </cell>
        </row>
        <row r="207">
          <cell r="A207">
            <v>81</v>
          </cell>
          <cell r="B207" t="str">
            <v>31 ـ 12</v>
          </cell>
          <cell r="C207" t="str">
            <v>2017/02/20</v>
          </cell>
          <cell r="D207" t="str">
            <v>فيفـري</v>
          </cell>
          <cell r="E207" t="str">
            <v>مرتـب شهـر فيفـري 2017 ( صنف المستخدمين موظفين مختلف )</v>
          </cell>
          <cell r="F207">
            <v>308067.65999999997</v>
          </cell>
          <cell r="G207">
            <v>0</v>
          </cell>
          <cell r="H207">
            <v>0</v>
          </cell>
          <cell r="I207">
            <v>0</v>
          </cell>
          <cell r="J207">
            <v>0</v>
          </cell>
          <cell r="K207">
            <v>0</v>
          </cell>
          <cell r="L207">
            <v>0</v>
          </cell>
          <cell r="M207">
            <v>0</v>
          </cell>
          <cell r="N207">
            <v>0</v>
          </cell>
          <cell r="O207">
            <v>0</v>
          </cell>
          <cell r="P207">
            <v>0</v>
          </cell>
          <cell r="Q207">
            <v>0</v>
          </cell>
        </row>
        <row r="208">
          <cell r="A208">
            <v>81</v>
          </cell>
          <cell r="B208" t="str">
            <v>33 ـ 11</v>
          </cell>
          <cell r="C208" t="str">
            <v>2017/02/20</v>
          </cell>
          <cell r="D208" t="str">
            <v>فيفـري</v>
          </cell>
          <cell r="E208" t="str">
            <v>مرتـب شهـر فيفـري 2017 ( صنف المستخدمين موظفين مختلف )</v>
          </cell>
          <cell r="F208">
            <v>1245</v>
          </cell>
          <cell r="G208">
            <v>506646.66</v>
          </cell>
          <cell r="H208">
            <v>0</v>
          </cell>
          <cell r="I208">
            <v>0</v>
          </cell>
          <cell r="J208">
            <v>0</v>
          </cell>
          <cell r="K208">
            <v>0</v>
          </cell>
          <cell r="L208">
            <v>0</v>
          </cell>
          <cell r="M208">
            <v>0</v>
          </cell>
          <cell r="N208">
            <v>0</v>
          </cell>
          <cell r="O208">
            <v>0</v>
          </cell>
          <cell r="P208">
            <v>0</v>
          </cell>
          <cell r="Q208">
            <v>0</v>
          </cell>
        </row>
        <row r="209">
          <cell r="A209">
            <v>82</v>
          </cell>
          <cell r="B209" t="str">
            <v>33 ـ 13</v>
          </cell>
          <cell r="C209" t="str">
            <v>2017/02/20</v>
          </cell>
          <cell r="D209" t="str">
            <v>فيفـري</v>
          </cell>
          <cell r="E209" t="str">
            <v>مرتـب شهـر فيفـري 2017 ( صنف المستخدمين موظفين مختلف )</v>
          </cell>
          <cell r="F209">
            <v>126350.42</v>
          </cell>
          <cell r="G209">
            <v>0</v>
          </cell>
          <cell r="H209">
            <v>0</v>
          </cell>
          <cell r="I209">
            <v>0</v>
          </cell>
          <cell r="J209">
            <v>0</v>
          </cell>
          <cell r="K209">
            <v>0</v>
          </cell>
          <cell r="L209">
            <v>0</v>
          </cell>
          <cell r="M209">
            <v>0</v>
          </cell>
          <cell r="N209">
            <v>0</v>
          </cell>
          <cell r="O209">
            <v>0</v>
          </cell>
          <cell r="P209">
            <v>0</v>
          </cell>
          <cell r="Q209">
            <v>0</v>
          </cell>
        </row>
        <row r="210">
          <cell r="A210">
            <v>83</v>
          </cell>
          <cell r="B210" t="str">
            <v>31 ـ 11</v>
          </cell>
          <cell r="C210" t="str">
            <v>2017/03/01</v>
          </cell>
          <cell r="D210" t="str">
            <v>مـارس</v>
          </cell>
          <cell r="E210" t="str">
            <v>مرتـب شهـر مـارس 2017 ( صنف المستخدمين مهندسي وتقنيي الأسلاك التقنية )</v>
          </cell>
          <cell r="F210">
            <v>57240</v>
          </cell>
          <cell r="G210">
            <v>0</v>
          </cell>
          <cell r="H210">
            <v>0</v>
          </cell>
          <cell r="I210">
            <v>0</v>
          </cell>
          <cell r="J210">
            <v>0</v>
          </cell>
          <cell r="K210">
            <v>0</v>
          </cell>
          <cell r="L210">
            <v>0</v>
          </cell>
          <cell r="M210">
            <v>0</v>
          </cell>
          <cell r="N210">
            <v>0</v>
          </cell>
          <cell r="O210">
            <v>0</v>
          </cell>
          <cell r="P210">
            <v>0</v>
          </cell>
          <cell r="Q210">
            <v>0</v>
          </cell>
        </row>
        <row r="211">
          <cell r="A211">
            <v>83</v>
          </cell>
          <cell r="B211" t="str">
            <v>31 ـ 12</v>
          </cell>
          <cell r="C211" t="str">
            <v>2017/03/01</v>
          </cell>
          <cell r="D211" t="str">
            <v>مـارس</v>
          </cell>
          <cell r="E211" t="str">
            <v>مرتـب شهـر مـارس 2017 ( صنف المستخدمين مهندسي وتقنيي الأسلاك التقنية )</v>
          </cell>
          <cell r="F211">
            <v>37344</v>
          </cell>
          <cell r="G211">
            <v>0</v>
          </cell>
          <cell r="H211">
            <v>0</v>
          </cell>
          <cell r="I211">
            <v>0</v>
          </cell>
          <cell r="J211">
            <v>0</v>
          </cell>
          <cell r="K211">
            <v>0</v>
          </cell>
          <cell r="L211">
            <v>0</v>
          </cell>
          <cell r="M211">
            <v>0</v>
          </cell>
          <cell r="N211">
            <v>0</v>
          </cell>
          <cell r="O211">
            <v>0</v>
          </cell>
          <cell r="P211">
            <v>0</v>
          </cell>
          <cell r="Q211">
            <v>0</v>
          </cell>
        </row>
        <row r="212">
          <cell r="A212">
            <v>83</v>
          </cell>
          <cell r="B212" t="str">
            <v>33 ـ 11</v>
          </cell>
          <cell r="C212" t="str">
            <v>2017/03/01</v>
          </cell>
          <cell r="D212" t="str">
            <v>مـارس</v>
          </cell>
          <cell r="E212" t="str">
            <v>مرتـب شهـر مـارس 2017 ( صنف المستخدمين مهندسي وتقنيي الأسلاك التقنية )</v>
          </cell>
          <cell r="F212">
            <v>1500</v>
          </cell>
          <cell r="G212">
            <v>96084</v>
          </cell>
          <cell r="H212">
            <v>0</v>
          </cell>
          <cell r="I212">
            <v>0</v>
          </cell>
          <cell r="J212">
            <v>0</v>
          </cell>
          <cell r="K212">
            <v>0</v>
          </cell>
          <cell r="L212">
            <v>0</v>
          </cell>
          <cell r="M212">
            <v>0</v>
          </cell>
          <cell r="N212">
            <v>0</v>
          </cell>
          <cell r="O212">
            <v>0</v>
          </cell>
          <cell r="P212">
            <v>0</v>
          </cell>
          <cell r="Q212">
            <v>0</v>
          </cell>
        </row>
        <row r="213">
          <cell r="A213">
            <v>84</v>
          </cell>
          <cell r="B213" t="str">
            <v>31 ـ 11</v>
          </cell>
          <cell r="C213" t="str">
            <v>2017/03/01</v>
          </cell>
          <cell r="D213" t="str">
            <v>مـارس</v>
          </cell>
          <cell r="E213" t="str">
            <v>مرتـب شهـر مـارس 2017 ( صنف المستخدمين مهندسي وتقنيي الأسلاك التقنية )</v>
          </cell>
          <cell r="F213">
            <v>2317050</v>
          </cell>
          <cell r="G213">
            <v>0</v>
          </cell>
          <cell r="H213">
            <v>0</v>
          </cell>
          <cell r="I213">
            <v>0</v>
          </cell>
          <cell r="J213">
            <v>0</v>
          </cell>
          <cell r="K213">
            <v>0</v>
          </cell>
          <cell r="L213">
            <v>0</v>
          </cell>
          <cell r="M213">
            <v>0</v>
          </cell>
          <cell r="N213">
            <v>0</v>
          </cell>
          <cell r="O213">
            <v>0</v>
          </cell>
          <cell r="P213">
            <v>0</v>
          </cell>
          <cell r="Q213">
            <v>0</v>
          </cell>
        </row>
        <row r="214">
          <cell r="A214">
            <v>84</v>
          </cell>
          <cell r="B214" t="str">
            <v>31 ـ 12</v>
          </cell>
          <cell r="C214" t="str">
            <v>2017/03/01</v>
          </cell>
          <cell r="D214" t="str">
            <v>مـارس</v>
          </cell>
          <cell r="E214" t="str">
            <v>مرتـب شهـر مـارس 2017 ( صنف المستخدمين مهندسي وتقنيي الأسلاك التقنية )</v>
          </cell>
          <cell r="F214">
            <v>1538699.12</v>
          </cell>
          <cell r="G214">
            <v>0</v>
          </cell>
          <cell r="H214">
            <v>0</v>
          </cell>
          <cell r="I214">
            <v>0</v>
          </cell>
          <cell r="J214">
            <v>0</v>
          </cell>
          <cell r="K214">
            <v>0</v>
          </cell>
          <cell r="L214">
            <v>0</v>
          </cell>
          <cell r="M214">
            <v>0</v>
          </cell>
          <cell r="N214">
            <v>0</v>
          </cell>
          <cell r="O214">
            <v>0</v>
          </cell>
          <cell r="P214">
            <v>0</v>
          </cell>
          <cell r="Q214">
            <v>0</v>
          </cell>
        </row>
        <row r="215">
          <cell r="A215">
            <v>84</v>
          </cell>
          <cell r="B215" t="str">
            <v>33 ـ 11</v>
          </cell>
          <cell r="C215" t="str">
            <v>2017/03/01</v>
          </cell>
          <cell r="D215" t="str">
            <v>مـارس</v>
          </cell>
          <cell r="E215" t="str">
            <v>مرتـب شهـر مـارس 2017 ( صنف المستخدمين مهندسي وتقنيي الأسلاك التقنية )</v>
          </cell>
          <cell r="F215">
            <v>62523.75</v>
          </cell>
          <cell r="G215">
            <v>3918272.87</v>
          </cell>
          <cell r="H215">
            <v>0</v>
          </cell>
          <cell r="I215">
            <v>0</v>
          </cell>
          <cell r="J215">
            <v>0</v>
          </cell>
          <cell r="K215">
            <v>0</v>
          </cell>
          <cell r="L215">
            <v>0</v>
          </cell>
          <cell r="M215">
            <v>0</v>
          </cell>
          <cell r="N215">
            <v>0</v>
          </cell>
          <cell r="O215">
            <v>0</v>
          </cell>
          <cell r="P215">
            <v>0</v>
          </cell>
          <cell r="Q215">
            <v>0</v>
          </cell>
        </row>
        <row r="216">
          <cell r="A216">
            <v>85</v>
          </cell>
          <cell r="B216" t="str">
            <v>31 ـ 11</v>
          </cell>
          <cell r="C216" t="str">
            <v>2017/03/01</v>
          </cell>
          <cell r="D216" t="str">
            <v>مـارس</v>
          </cell>
          <cell r="E216" t="str">
            <v>مرتـب شهـر مـارس 2017 ( صنف المستخدمين مهندسي الأسلاك المشتركة التقنية )</v>
          </cell>
          <cell r="F216">
            <v>173025</v>
          </cell>
          <cell r="G216">
            <v>0</v>
          </cell>
          <cell r="H216">
            <v>0</v>
          </cell>
          <cell r="I216">
            <v>0</v>
          </cell>
          <cell r="J216">
            <v>0</v>
          </cell>
          <cell r="K216">
            <v>0</v>
          </cell>
          <cell r="L216">
            <v>0</v>
          </cell>
          <cell r="M216">
            <v>0</v>
          </cell>
          <cell r="N216">
            <v>0</v>
          </cell>
          <cell r="O216">
            <v>0</v>
          </cell>
          <cell r="P216">
            <v>0</v>
          </cell>
          <cell r="Q216">
            <v>0</v>
          </cell>
        </row>
        <row r="217">
          <cell r="A217">
            <v>85</v>
          </cell>
          <cell r="B217" t="str">
            <v>31 ـ 12</v>
          </cell>
          <cell r="C217" t="str">
            <v>2017/03/01</v>
          </cell>
          <cell r="D217" t="str">
            <v>مـارس</v>
          </cell>
          <cell r="E217" t="str">
            <v>مرتـب شهـر مـارس 2017 ( صنف المستخدمين مهندسي الأسلاك المشتركة التقنية )</v>
          </cell>
          <cell r="F217">
            <v>108440.6</v>
          </cell>
          <cell r="G217">
            <v>0</v>
          </cell>
          <cell r="H217">
            <v>0</v>
          </cell>
          <cell r="I217">
            <v>0</v>
          </cell>
          <cell r="J217">
            <v>0</v>
          </cell>
          <cell r="K217">
            <v>0</v>
          </cell>
          <cell r="L217">
            <v>0</v>
          </cell>
          <cell r="M217">
            <v>0</v>
          </cell>
          <cell r="N217">
            <v>0</v>
          </cell>
          <cell r="O217">
            <v>0</v>
          </cell>
          <cell r="P217">
            <v>0</v>
          </cell>
          <cell r="Q217">
            <v>0</v>
          </cell>
        </row>
        <row r="218">
          <cell r="A218">
            <v>85</v>
          </cell>
          <cell r="B218" t="str">
            <v>33 ـ 11</v>
          </cell>
          <cell r="C218" t="str">
            <v>2017/03/01</v>
          </cell>
          <cell r="D218" t="str">
            <v>مـارس</v>
          </cell>
          <cell r="E218" t="str">
            <v>مرتـب شهـر مـارس 2017 ( صنف المستخدمين مهندسي الأسلاك المشتركة التقنية )</v>
          </cell>
          <cell r="F218">
            <v>5100</v>
          </cell>
          <cell r="G218">
            <v>286565.59999999998</v>
          </cell>
          <cell r="H218">
            <v>0</v>
          </cell>
          <cell r="I218">
            <v>0</v>
          </cell>
          <cell r="J218">
            <v>0</v>
          </cell>
          <cell r="K218">
            <v>0</v>
          </cell>
          <cell r="L218">
            <v>0</v>
          </cell>
          <cell r="M218">
            <v>0</v>
          </cell>
          <cell r="N218">
            <v>0</v>
          </cell>
          <cell r="O218">
            <v>0</v>
          </cell>
          <cell r="P218">
            <v>0</v>
          </cell>
          <cell r="Q218">
            <v>0</v>
          </cell>
        </row>
        <row r="219">
          <cell r="A219">
            <v>86</v>
          </cell>
          <cell r="B219" t="str">
            <v>31 ـ 11</v>
          </cell>
          <cell r="C219" t="str">
            <v>2017/03/01</v>
          </cell>
          <cell r="D219" t="str">
            <v>مـارس</v>
          </cell>
          <cell r="E219" t="str">
            <v>مرتـب شهـر مـارس 2017 ( صنف المستخدمين مهندسي الأسلاك المشتركة التقنية )</v>
          </cell>
          <cell r="F219">
            <v>451395</v>
          </cell>
          <cell r="G219">
            <v>0</v>
          </cell>
          <cell r="H219">
            <v>0</v>
          </cell>
          <cell r="I219">
            <v>0</v>
          </cell>
          <cell r="J219">
            <v>0</v>
          </cell>
          <cell r="K219">
            <v>0</v>
          </cell>
          <cell r="L219">
            <v>0</v>
          </cell>
          <cell r="M219">
            <v>0</v>
          </cell>
          <cell r="N219">
            <v>0</v>
          </cell>
          <cell r="O219">
            <v>0</v>
          </cell>
          <cell r="P219">
            <v>0</v>
          </cell>
          <cell r="Q219">
            <v>0</v>
          </cell>
        </row>
        <row r="220">
          <cell r="A220">
            <v>86</v>
          </cell>
          <cell r="B220" t="str">
            <v>31 ـ 12</v>
          </cell>
          <cell r="C220" t="str">
            <v>2017/03/01</v>
          </cell>
          <cell r="D220" t="str">
            <v>مـارس</v>
          </cell>
          <cell r="E220" t="str">
            <v>مرتـب شهـر مـارس 2017 ( صنف المستخدمين مهندسي الأسلاك المشتركة التقنية )</v>
          </cell>
          <cell r="F220">
            <v>283764.65999999997</v>
          </cell>
          <cell r="G220">
            <v>0</v>
          </cell>
          <cell r="H220">
            <v>0</v>
          </cell>
          <cell r="I220">
            <v>0</v>
          </cell>
          <cell r="J220">
            <v>0</v>
          </cell>
          <cell r="K220">
            <v>0</v>
          </cell>
          <cell r="L220">
            <v>0</v>
          </cell>
          <cell r="M220">
            <v>0</v>
          </cell>
          <cell r="N220">
            <v>0</v>
          </cell>
          <cell r="O220">
            <v>0</v>
          </cell>
          <cell r="P220">
            <v>0</v>
          </cell>
          <cell r="Q220">
            <v>0</v>
          </cell>
        </row>
        <row r="221">
          <cell r="A221">
            <v>86</v>
          </cell>
          <cell r="B221" t="str">
            <v>33 ـ 11</v>
          </cell>
          <cell r="C221" t="str">
            <v>2017/03/01</v>
          </cell>
          <cell r="D221" t="str">
            <v>مـارس</v>
          </cell>
          <cell r="E221" t="str">
            <v>مرتـب شهـر مـارس 2017 ( صنف المستخدمين مهندسي الأسلاك المشتركة التقنية )</v>
          </cell>
          <cell r="F221">
            <v>16111.25</v>
          </cell>
          <cell r="G221">
            <v>751270.90999999992</v>
          </cell>
          <cell r="H221">
            <v>0</v>
          </cell>
          <cell r="I221">
            <v>0</v>
          </cell>
          <cell r="J221">
            <v>0</v>
          </cell>
          <cell r="K221">
            <v>0</v>
          </cell>
          <cell r="L221">
            <v>0</v>
          </cell>
          <cell r="M221">
            <v>0</v>
          </cell>
          <cell r="N221">
            <v>0</v>
          </cell>
          <cell r="O221">
            <v>0</v>
          </cell>
          <cell r="P221">
            <v>0</v>
          </cell>
          <cell r="Q221">
            <v>0</v>
          </cell>
        </row>
        <row r="222">
          <cell r="A222">
            <v>87</v>
          </cell>
          <cell r="B222" t="str">
            <v>31 ـ 11</v>
          </cell>
          <cell r="C222" t="str">
            <v>2017/03/01</v>
          </cell>
          <cell r="D222" t="str">
            <v>مـارس</v>
          </cell>
          <cell r="E222" t="str">
            <v>مرتـب شهـر مـارس 2017 ( صنف المستخدمين مهندسي وتقنيي الأسلاك المشتركة )</v>
          </cell>
          <cell r="F222">
            <v>63765</v>
          </cell>
          <cell r="G222">
            <v>0</v>
          </cell>
          <cell r="H222">
            <v>0</v>
          </cell>
          <cell r="I222">
            <v>0</v>
          </cell>
          <cell r="J222">
            <v>0</v>
          </cell>
          <cell r="K222">
            <v>0</v>
          </cell>
          <cell r="L222">
            <v>0</v>
          </cell>
          <cell r="M222">
            <v>0</v>
          </cell>
          <cell r="N222">
            <v>0</v>
          </cell>
          <cell r="O222">
            <v>0</v>
          </cell>
          <cell r="P222">
            <v>0</v>
          </cell>
          <cell r="Q222">
            <v>0</v>
          </cell>
        </row>
        <row r="223">
          <cell r="A223">
            <v>87</v>
          </cell>
          <cell r="B223" t="str">
            <v>31 ـ 12</v>
          </cell>
          <cell r="C223" t="str">
            <v>2017/03/01</v>
          </cell>
          <cell r="D223" t="str">
            <v>مـارس</v>
          </cell>
          <cell r="E223" t="str">
            <v>مرتـب شهـر مـارس 2017 ( صنف المستخدمين مهندسي وتقنيي الأسلاك المشتركة )</v>
          </cell>
          <cell r="F223">
            <v>31620</v>
          </cell>
          <cell r="G223">
            <v>0</v>
          </cell>
          <cell r="H223">
            <v>0</v>
          </cell>
          <cell r="I223">
            <v>0</v>
          </cell>
          <cell r="J223">
            <v>0</v>
          </cell>
          <cell r="K223">
            <v>0</v>
          </cell>
          <cell r="L223">
            <v>0</v>
          </cell>
          <cell r="M223">
            <v>0</v>
          </cell>
          <cell r="N223">
            <v>0</v>
          </cell>
          <cell r="O223">
            <v>0</v>
          </cell>
          <cell r="P223">
            <v>0</v>
          </cell>
          <cell r="Q223">
            <v>0</v>
          </cell>
        </row>
        <row r="224">
          <cell r="A224">
            <v>87</v>
          </cell>
          <cell r="B224" t="str">
            <v>33 ـ 11</v>
          </cell>
          <cell r="C224" t="str">
            <v>2017/03/01</v>
          </cell>
          <cell r="D224" t="str">
            <v>مـارس</v>
          </cell>
          <cell r="E224" t="str">
            <v>مرتـب شهـر مـارس 2017 ( صنف المستخدمين مهندسي وتقنيي الأسلاك المشتركة )</v>
          </cell>
          <cell r="F224">
            <v>2000</v>
          </cell>
          <cell r="G224">
            <v>97385</v>
          </cell>
          <cell r="H224">
            <v>0</v>
          </cell>
          <cell r="I224">
            <v>0</v>
          </cell>
          <cell r="J224">
            <v>0</v>
          </cell>
          <cell r="K224">
            <v>0</v>
          </cell>
          <cell r="L224">
            <v>0</v>
          </cell>
          <cell r="M224">
            <v>0</v>
          </cell>
          <cell r="N224">
            <v>0</v>
          </cell>
          <cell r="O224">
            <v>0</v>
          </cell>
          <cell r="P224">
            <v>0</v>
          </cell>
          <cell r="Q224">
            <v>0</v>
          </cell>
        </row>
        <row r="225">
          <cell r="A225">
            <v>88</v>
          </cell>
          <cell r="B225" t="str">
            <v>31 ـ 11</v>
          </cell>
          <cell r="C225" t="str">
            <v>2017/03/01</v>
          </cell>
          <cell r="D225" t="str">
            <v>مـارس</v>
          </cell>
          <cell r="E225" t="str">
            <v>مرتـب شهـر مـارس 2017 ( صنف المستخدمين مهندسي وتقنيي الأسلاك المشتركة )</v>
          </cell>
          <cell r="F225">
            <v>1659825</v>
          </cell>
          <cell r="G225">
            <v>0</v>
          </cell>
          <cell r="H225">
            <v>0</v>
          </cell>
          <cell r="I225">
            <v>0</v>
          </cell>
          <cell r="J225">
            <v>0</v>
          </cell>
          <cell r="K225">
            <v>0</v>
          </cell>
          <cell r="L225">
            <v>0</v>
          </cell>
          <cell r="M225">
            <v>0</v>
          </cell>
          <cell r="N225">
            <v>0</v>
          </cell>
          <cell r="O225">
            <v>0</v>
          </cell>
          <cell r="P225">
            <v>0</v>
          </cell>
          <cell r="Q225">
            <v>0</v>
          </cell>
        </row>
        <row r="226">
          <cell r="A226">
            <v>88</v>
          </cell>
          <cell r="B226" t="str">
            <v>31 ـ 12</v>
          </cell>
          <cell r="C226" t="str">
            <v>2017/03/01</v>
          </cell>
          <cell r="D226" t="str">
            <v>مـارس</v>
          </cell>
          <cell r="E226" t="str">
            <v>مرتـب شهـر مـارس 2017 ( صنف المستخدمين مهندسي وتقنيي الأسلاك المشتركة )</v>
          </cell>
          <cell r="F226">
            <v>941377.75</v>
          </cell>
          <cell r="G226">
            <v>0</v>
          </cell>
          <cell r="H226">
            <v>0</v>
          </cell>
          <cell r="I226">
            <v>0</v>
          </cell>
          <cell r="J226">
            <v>0</v>
          </cell>
          <cell r="K226">
            <v>0</v>
          </cell>
          <cell r="L226">
            <v>0</v>
          </cell>
          <cell r="M226">
            <v>0</v>
          </cell>
          <cell r="N226">
            <v>0</v>
          </cell>
          <cell r="O226">
            <v>0</v>
          </cell>
          <cell r="P226">
            <v>0</v>
          </cell>
          <cell r="Q226">
            <v>0</v>
          </cell>
        </row>
        <row r="227">
          <cell r="A227">
            <v>88</v>
          </cell>
          <cell r="B227" t="str">
            <v>33 ـ 11</v>
          </cell>
          <cell r="C227" t="str">
            <v>2017/03/01</v>
          </cell>
          <cell r="D227" t="str">
            <v>مـارس</v>
          </cell>
          <cell r="E227" t="str">
            <v>مرتـب شهـر مـارس 2017 ( صنف المستخدمين مهندسي وتقنيي الأسلاك المشتركة )</v>
          </cell>
          <cell r="F227">
            <v>25800</v>
          </cell>
          <cell r="G227">
            <v>2627002.75</v>
          </cell>
          <cell r="H227">
            <v>0</v>
          </cell>
          <cell r="I227">
            <v>0</v>
          </cell>
          <cell r="J227">
            <v>0</v>
          </cell>
          <cell r="K227">
            <v>0</v>
          </cell>
          <cell r="L227">
            <v>0</v>
          </cell>
          <cell r="M227">
            <v>0</v>
          </cell>
          <cell r="N227">
            <v>0</v>
          </cell>
          <cell r="O227">
            <v>0</v>
          </cell>
          <cell r="P227">
            <v>0</v>
          </cell>
          <cell r="Q227">
            <v>0</v>
          </cell>
        </row>
        <row r="228">
          <cell r="A228">
            <v>89</v>
          </cell>
          <cell r="B228" t="str">
            <v>33 ـ 13</v>
          </cell>
          <cell r="C228" t="str">
            <v>2017/03/01</v>
          </cell>
          <cell r="D228" t="str">
            <v>مـارس</v>
          </cell>
          <cell r="E228" t="str">
            <v/>
          </cell>
          <cell r="F228">
            <v>1915886.54</v>
          </cell>
          <cell r="G228">
            <v>0</v>
          </cell>
          <cell r="H228">
            <v>0</v>
          </cell>
          <cell r="I228">
            <v>0</v>
          </cell>
          <cell r="J228">
            <v>0</v>
          </cell>
          <cell r="K228">
            <v>0</v>
          </cell>
          <cell r="L228">
            <v>0</v>
          </cell>
          <cell r="M228">
            <v>0</v>
          </cell>
          <cell r="N228">
            <v>0</v>
          </cell>
          <cell r="O228">
            <v>0</v>
          </cell>
          <cell r="P228">
            <v>0</v>
          </cell>
          <cell r="Q228">
            <v>0</v>
          </cell>
        </row>
        <row r="229">
          <cell r="A229">
            <v>90</v>
          </cell>
          <cell r="B229" t="str">
            <v>31 ـ 11</v>
          </cell>
          <cell r="C229" t="str">
            <v>2017/03/01</v>
          </cell>
          <cell r="D229" t="str">
            <v>مـارس</v>
          </cell>
          <cell r="E229" t="str">
            <v>مرتـب شهـر مـارس 2017 ( صنف المستخدمين موظفين مختلف )</v>
          </cell>
          <cell r="F229">
            <v>176810.16</v>
          </cell>
          <cell r="G229">
            <v>0</v>
          </cell>
          <cell r="H229">
            <v>0</v>
          </cell>
          <cell r="I229">
            <v>0</v>
          </cell>
          <cell r="J229">
            <v>0</v>
          </cell>
          <cell r="K229">
            <v>0</v>
          </cell>
          <cell r="L229">
            <v>0</v>
          </cell>
          <cell r="M229">
            <v>0</v>
          </cell>
          <cell r="N229">
            <v>0</v>
          </cell>
          <cell r="O229">
            <v>0</v>
          </cell>
          <cell r="P229">
            <v>0</v>
          </cell>
          <cell r="Q229">
            <v>0</v>
          </cell>
        </row>
        <row r="230">
          <cell r="A230">
            <v>90</v>
          </cell>
          <cell r="B230" t="str">
            <v>31 ـ 12</v>
          </cell>
          <cell r="C230" t="str">
            <v>2017/03/01</v>
          </cell>
          <cell r="D230" t="str">
            <v>مـارس</v>
          </cell>
          <cell r="E230" t="str">
            <v>مرتـب شهـر مـارس 2017 ( صنف المستخدمين موظفين مختلف )</v>
          </cell>
          <cell r="F230">
            <v>175471.57</v>
          </cell>
          <cell r="G230">
            <v>0</v>
          </cell>
          <cell r="H230">
            <v>0</v>
          </cell>
          <cell r="I230">
            <v>0</v>
          </cell>
          <cell r="J230">
            <v>0</v>
          </cell>
          <cell r="K230">
            <v>0</v>
          </cell>
          <cell r="L230">
            <v>0</v>
          </cell>
          <cell r="M230">
            <v>0</v>
          </cell>
          <cell r="N230">
            <v>0</v>
          </cell>
          <cell r="O230">
            <v>0</v>
          </cell>
          <cell r="P230">
            <v>0</v>
          </cell>
          <cell r="Q230">
            <v>0</v>
          </cell>
        </row>
        <row r="231">
          <cell r="A231">
            <v>90</v>
          </cell>
          <cell r="B231" t="str">
            <v>33 ـ 11</v>
          </cell>
          <cell r="C231" t="str">
            <v>2017/03/01</v>
          </cell>
          <cell r="D231" t="str">
            <v>مـارس</v>
          </cell>
          <cell r="E231" t="str">
            <v>مرتـب شهـر مـارس 2017 ( صنف المستخدمين موظفين مختلف )</v>
          </cell>
          <cell r="F231">
            <v>3767.5</v>
          </cell>
          <cell r="G231">
            <v>356049.23</v>
          </cell>
          <cell r="H231">
            <v>0</v>
          </cell>
          <cell r="I231">
            <v>0</v>
          </cell>
          <cell r="J231">
            <v>0</v>
          </cell>
          <cell r="K231">
            <v>0</v>
          </cell>
          <cell r="L231">
            <v>0</v>
          </cell>
          <cell r="M231">
            <v>0</v>
          </cell>
          <cell r="N231">
            <v>0</v>
          </cell>
          <cell r="O231">
            <v>0</v>
          </cell>
          <cell r="P231">
            <v>0</v>
          </cell>
          <cell r="Q231">
            <v>0</v>
          </cell>
        </row>
        <row r="232">
          <cell r="A232">
            <v>91</v>
          </cell>
          <cell r="B232" t="str">
            <v>31 ـ 11</v>
          </cell>
          <cell r="C232" t="str">
            <v>2017/03/01</v>
          </cell>
          <cell r="D232" t="str">
            <v>مـارس</v>
          </cell>
          <cell r="E232" t="str">
            <v>مرتـب شهـر مـارس 2017 ( صنف المستخدمين موظفين مختلف )</v>
          </cell>
          <cell r="F232">
            <v>1086946.3899999999</v>
          </cell>
          <cell r="G232">
            <v>0</v>
          </cell>
          <cell r="H232">
            <v>0</v>
          </cell>
          <cell r="I232">
            <v>0</v>
          </cell>
          <cell r="J232">
            <v>0</v>
          </cell>
          <cell r="K232">
            <v>0</v>
          </cell>
          <cell r="L232">
            <v>0</v>
          </cell>
          <cell r="M232">
            <v>0</v>
          </cell>
          <cell r="N232">
            <v>0</v>
          </cell>
          <cell r="O232">
            <v>0</v>
          </cell>
          <cell r="P232">
            <v>0</v>
          </cell>
          <cell r="Q232">
            <v>0</v>
          </cell>
        </row>
        <row r="233">
          <cell r="A233">
            <v>91</v>
          </cell>
          <cell r="B233" t="str">
            <v>31 ـ 12</v>
          </cell>
          <cell r="C233" t="str">
            <v>2017/03/01</v>
          </cell>
          <cell r="D233" t="str">
            <v>مـارس</v>
          </cell>
          <cell r="E233" t="str">
            <v>مرتـب شهـر مـارس 2017 ( صنف المستخدمين موظفين مختلف )</v>
          </cell>
          <cell r="F233">
            <v>574590.28</v>
          </cell>
          <cell r="G233">
            <v>0</v>
          </cell>
          <cell r="H233">
            <v>0</v>
          </cell>
          <cell r="I233">
            <v>0</v>
          </cell>
          <cell r="J233">
            <v>0</v>
          </cell>
          <cell r="K233">
            <v>0</v>
          </cell>
          <cell r="L233">
            <v>0</v>
          </cell>
          <cell r="M233">
            <v>0</v>
          </cell>
          <cell r="N233">
            <v>0</v>
          </cell>
          <cell r="O233">
            <v>0</v>
          </cell>
          <cell r="P233">
            <v>0</v>
          </cell>
          <cell r="Q233">
            <v>0</v>
          </cell>
        </row>
        <row r="234">
          <cell r="A234">
            <v>91</v>
          </cell>
          <cell r="B234" t="str">
            <v>33 ـ 11</v>
          </cell>
          <cell r="C234" t="str">
            <v>2017/03/01</v>
          </cell>
          <cell r="D234" t="str">
            <v>مـارس</v>
          </cell>
          <cell r="E234" t="str">
            <v>مرتـب شهـر مـارس 2017 ( صنف المستخدمين موظفين مختلف )</v>
          </cell>
          <cell r="F234">
            <v>37768.75</v>
          </cell>
          <cell r="G234">
            <v>1699305.42</v>
          </cell>
          <cell r="H234">
            <v>0</v>
          </cell>
          <cell r="I234">
            <v>0</v>
          </cell>
          <cell r="J234">
            <v>0</v>
          </cell>
          <cell r="K234">
            <v>0</v>
          </cell>
          <cell r="L234">
            <v>0</v>
          </cell>
          <cell r="M234">
            <v>0</v>
          </cell>
          <cell r="N234">
            <v>0</v>
          </cell>
          <cell r="O234">
            <v>0</v>
          </cell>
          <cell r="P234">
            <v>0</v>
          </cell>
          <cell r="Q234">
            <v>0</v>
          </cell>
        </row>
        <row r="235">
          <cell r="A235">
            <v>92</v>
          </cell>
          <cell r="B235" t="str">
            <v>31 ـ 11</v>
          </cell>
          <cell r="C235" t="str">
            <v>2017/03/01</v>
          </cell>
          <cell r="D235" t="str">
            <v>مـارس</v>
          </cell>
          <cell r="E235" t="str">
            <v>مرتـب شهـر مـارس 2017 ( صنف المستخدمين موظفين مختلف )</v>
          </cell>
          <cell r="F235">
            <v>1381723.32</v>
          </cell>
          <cell r="G235">
            <v>0</v>
          </cell>
          <cell r="H235">
            <v>0</v>
          </cell>
          <cell r="I235">
            <v>0</v>
          </cell>
          <cell r="J235">
            <v>0</v>
          </cell>
          <cell r="K235">
            <v>0</v>
          </cell>
          <cell r="L235">
            <v>0</v>
          </cell>
          <cell r="M235">
            <v>0</v>
          </cell>
          <cell r="N235">
            <v>0</v>
          </cell>
          <cell r="O235">
            <v>0</v>
          </cell>
          <cell r="P235">
            <v>0</v>
          </cell>
          <cell r="Q235">
            <v>0</v>
          </cell>
        </row>
        <row r="236">
          <cell r="A236">
            <v>92</v>
          </cell>
          <cell r="B236" t="str">
            <v>31 ـ 12</v>
          </cell>
          <cell r="C236" t="str">
            <v>2017/03/01</v>
          </cell>
          <cell r="D236" t="str">
            <v>مـارس</v>
          </cell>
          <cell r="E236" t="str">
            <v>مرتـب شهـر مـارس 2017 ( صنف المستخدمين موظفين مختلف )</v>
          </cell>
          <cell r="F236">
            <v>745650.84</v>
          </cell>
          <cell r="G236">
            <v>0</v>
          </cell>
          <cell r="H236">
            <v>0</v>
          </cell>
          <cell r="I236">
            <v>0</v>
          </cell>
          <cell r="J236">
            <v>0</v>
          </cell>
          <cell r="K236">
            <v>0</v>
          </cell>
          <cell r="L236">
            <v>0</v>
          </cell>
          <cell r="M236">
            <v>0</v>
          </cell>
          <cell r="N236">
            <v>0</v>
          </cell>
          <cell r="O236">
            <v>0</v>
          </cell>
          <cell r="P236">
            <v>0</v>
          </cell>
          <cell r="Q236">
            <v>0</v>
          </cell>
        </row>
        <row r="237">
          <cell r="A237">
            <v>92</v>
          </cell>
          <cell r="B237" t="str">
            <v>33 ـ 11</v>
          </cell>
          <cell r="C237" t="str">
            <v>2017/03/01</v>
          </cell>
          <cell r="D237" t="str">
            <v>مـارس</v>
          </cell>
          <cell r="E237" t="str">
            <v>مرتـب شهـر مـارس 2017 ( صنف المستخدمين موظفين مختلف )</v>
          </cell>
          <cell r="F237">
            <v>57981.25</v>
          </cell>
          <cell r="G237">
            <v>2185355.41</v>
          </cell>
          <cell r="H237">
            <v>0</v>
          </cell>
          <cell r="I237">
            <v>0</v>
          </cell>
          <cell r="J237">
            <v>0</v>
          </cell>
          <cell r="K237">
            <v>0</v>
          </cell>
          <cell r="L237">
            <v>0</v>
          </cell>
          <cell r="M237">
            <v>0</v>
          </cell>
          <cell r="N237">
            <v>0</v>
          </cell>
          <cell r="O237">
            <v>0</v>
          </cell>
          <cell r="P237">
            <v>0</v>
          </cell>
          <cell r="Q237">
            <v>0</v>
          </cell>
        </row>
        <row r="238">
          <cell r="A238">
            <v>93</v>
          </cell>
          <cell r="B238" t="str">
            <v>31 ـ 11</v>
          </cell>
          <cell r="C238" t="str">
            <v>2017/03/01</v>
          </cell>
          <cell r="D238" t="str">
            <v>مـارس</v>
          </cell>
          <cell r="E238" t="str">
            <v>مرتـب شهـر مـارس 2017 ( صنف المستخدمين موظفين مختلف )</v>
          </cell>
          <cell r="F238">
            <v>81450</v>
          </cell>
          <cell r="G238">
            <v>0</v>
          </cell>
          <cell r="H238">
            <v>0</v>
          </cell>
          <cell r="I238">
            <v>0</v>
          </cell>
          <cell r="J238">
            <v>0</v>
          </cell>
          <cell r="K238">
            <v>0</v>
          </cell>
          <cell r="L238">
            <v>0</v>
          </cell>
          <cell r="M238">
            <v>0</v>
          </cell>
          <cell r="N238">
            <v>0</v>
          </cell>
          <cell r="O238">
            <v>0</v>
          </cell>
          <cell r="P238">
            <v>0</v>
          </cell>
          <cell r="Q238">
            <v>0</v>
          </cell>
        </row>
        <row r="239">
          <cell r="A239">
            <v>93</v>
          </cell>
          <cell r="B239" t="str">
            <v>31 ـ 12</v>
          </cell>
          <cell r="C239" t="str">
            <v>2017/03/01</v>
          </cell>
          <cell r="D239" t="str">
            <v>مـارس</v>
          </cell>
          <cell r="E239" t="str">
            <v>مرتـب شهـر مـارس 2017 ( صنف المستخدمين موظفين مختلف )</v>
          </cell>
          <cell r="F239">
            <v>40529.160000000003</v>
          </cell>
          <cell r="G239">
            <v>0</v>
          </cell>
          <cell r="H239">
            <v>0</v>
          </cell>
          <cell r="I239">
            <v>0</v>
          </cell>
          <cell r="J239">
            <v>0</v>
          </cell>
          <cell r="K239">
            <v>0</v>
          </cell>
          <cell r="L239">
            <v>0</v>
          </cell>
          <cell r="M239">
            <v>0</v>
          </cell>
          <cell r="N239">
            <v>0</v>
          </cell>
          <cell r="O239">
            <v>0</v>
          </cell>
          <cell r="P239">
            <v>0</v>
          </cell>
          <cell r="Q239">
            <v>0</v>
          </cell>
        </row>
        <row r="240">
          <cell r="A240">
            <v>93</v>
          </cell>
          <cell r="B240" t="str">
            <v>33 ـ 11</v>
          </cell>
          <cell r="C240" t="str">
            <v>2017/03/01</v>
          </cell>
          <cell r="D240" t="str">
            <v>مـارس</v>
          </cell>
          <cell r="E240" t="str">
            <v>مرتـب شهـر مـارس 2017 ( صنف المستخدمين موظفين مختلف )</v>
          </cell>
          <cell r="F240">
            <v>2333.75</v>
          </cell>
          <cell r="G240">
            <v>124312.91</v>
          </cell>
          <cell r="H240">
            <v>0</v>
          </cell>
          <cell r="I240">
            <v>0</v>
          </cell>
          <cell r="J240">
            <v>0</v>
          </cell>
          <cell r="K240">
            <v>0</v>
          </cell>
          <cell r="L240">
            <v>0</v>
          </cell>
          <cell r="M240">
            <v>0</v>
          </cell>
          <cell r="N240">
            <v>0</v>
          </cell>
          <cell r="O240">
            <v>0</v>
          </cell>
          <cell r="P240">
            <v>0</v>
          </cell>
          <cell r="Q240">
            <v>0</v>
          </cell>
        </row>
        <row r="241">
          <cell r="A241">
            <v>94</v>
          </cell>
          <cell r="B241" t="str">
            <v>31 ـ 11</v>
          </cell>
          <cell r="C241" t="str">
            <v>2017/03/01</v>
          </cell>
          <cell r="D241" t="str">
            <v>مـارس</v>
          </cell>
          <cell r="E241" t="str">
            <v>مرتـب شهـر مـارس 2017 ( صنف المستخدمين موظفين مختلف )</v>
          </cell>
          <cell r="F241">
            <v>4502596.13</v>
          </cell>
          <cell r="G241">
            <v>0</v>
          </cell>
          <cell r="H241">
            <v>0</v>
          </cell>
          <cell r="I241">
            <v>0</v>
          </cell>
          <cell r="J241">
            <v>0</v>
          </cell>
          <cell r="K241">
            <v>0</v>
          </cell>
          <cell r="L241">
            <v>0</v>
          </cell>
          <cell r="M241">
            <v>0</v>
          </cell>
          <cell r="N241">
            <v>0</v>
          </cell>
          <cell r="O241">
            <v>0</v>
          </cell>
          <cell r="P241">
            <v>0</v>
          </cell>
          <cell r="Q241">
            <v>0</v>
          </cell>
        </row>
        <row r="242">
          <cell r="A242">
            <v>94</v>
          </cell>
          <cell r="B242" t="str">
            <v>31 ـ 12</v>
          </cell>
          <cell r="C242" t="str">
            <v>2017/03/01</v>
          </cell>
          <cell r="D242" t="str">
            <v>مـارس</v>
          </cell>
          <cell r="E242" t="str">
            <v>مرتـب شهـر مـارس 2017 ( صنف المستخدمين موظفين مختلف )</v>
          </cell>
          <cell r="F242">
            <v>3031136.34</v>
          </cell>
          <cell r="G242">
            <v>0</v>
          </cell>
          <cell r="H242">
            <v>0</v>
          </cell>
          <cell r="I242">
            <v>0</v>
          </cell>
          <cell r="J242">
            <v>0</v>
          </cell>
          <cell r="K242">
            <v>0</v>
          </cell>
          <cell r="L242">
            <v>0</v>
          </cell>
          <cell r="M242">
            <v>0</v>
          </cell>
          <cell r="N242">
            <v>0</v>
          </cell>
          <cell r="O242">
            <v>0</v>
          </cell>
          <cell r="P242">
            <v>0</v>
          </cell>
          <cell r="Q242">
            <v>0</v>
          </cell>
        </row>
        <row r="243">
          <cell r="A243">
            <v>94</v>
          </cell>
          <cell r="B243" t="str">
            <v>33 ـ 11</v>
          </cell>
          <cell r="C243" t="str">
            <v>2017/03/01</v>
          </cell>
          <cell r="D243" t="str">
            <v>مـارس</v>
          </cell>
          <cell r="E243" t="str">
            <v>مرتـب شهـر مـارس 2017 ( صنف المستخدمين موظفين مختلف )</v>
          </cell>
          <cell r="F243">
            <v>146351</v>
          </cell>
          <cell r="G243">
            <v>7680083.4699999997</v>
          </cell>
          <cell r="H243">
            <v>0</v>
          </cell>
          <cell r="I243">
            <v>0</v>
          </cell>
          <cell r="J243">
            <v>0</v>
          </cell>
          <cell r="K243">
            <v>0</v>
          </cell>
          <cell r="L243">
            <v>0</v>
          </cell>
          <cell r="M243">
            <v>0</v>
          </cell>
          <cell r="N243">
            <v>0</v>
          </cell>
          <cell r="O243">
            <v>0</v>
          </cell>
          <cell r="P243">
            <v>0</v>
          </cell>
          <cell r="Q243">
            <v>0</v>
          </cell>
        </row>
        <row r="244">
          <cell r="A244">
            <v>95</v>
          </cell>
          <cell r="B244" t="str">
            <v>31 ـ 11</v>
          </cell>
          <cell r="C244" t="str">
            <v>2017/03/01</v>
          </cell>
          <cell r="D244" t="str">
            <v>مـارس</v>
          </cell>
          <cell r="E244" t="str">
            <v>مرتـب شهـر مـارس 2017 ( صنف المستخدمين موظفين مختلف )</v>
          </cell>
          <cell r="F244">
            <v>242895.16</v>
          </cell>
          <cell r="G244">
            <v>0</v>
          </cell>
          <cell r="H244">
            <v>0</v>
          </cell>
          <cell r="I244">
            <v>0</v>
          </cell>
          <cell r="J244">
            <v>0</v>
          </cell>
          <cell r="K244">
            <v>0</v>
          </cell>
          <cell r="L244">
            <v>0</v>
          </cell>
          <cell r="M244">
            <v>0</v>
          </cell>
          <cell r="N244">
            <v>0</v>
          </cell>
          <cell r="O244">
            <v>0</v>
          </cell>
          <cell r="P244">
            <v>0</v>
          </cell>
          <cell r="Q244">
            <v>0</v>
          </cell>
        </row>
        <row r="245">
          <cell r="A245">
            <v>95</v>
          </cell>
          <cell r="B245" t="str">
            <v>31 ـ 12</v>
          </cell>
          <cell r="C245" t="str">
            <v>2017/03/01</v>
          </cell>
          <cell r="D245" t="str">
            <v>مـارس</v>
          </cell>
          <cell r="E245" t="str">
            <v>مرتـب شهـر مـارس 2017 ( صنف المستخدمين موظفين مختلف )</v>
          </cell>
          <cell r="F245">
            <v>118295.14</v>
          </cell>
          <cell r="G245">
            <v>0</v>
          </cell>
          <cell r="H245">
            <v>0</v>
          </cell>
          <cell r="I245">
            <v>0</v>
          </cell>
          <cell r="J245">
            <v>0</v>
          </cell>
          <cell r="K245">
            <v>0</v>
          </cell>
          <cell r="L245">
            <v>0</v>
          </cell>
          <cell r="M245">
            <v>0</v>
          </cell>
          <cell r="N245">
            <v>0</v>
          </cell>
          <cell r="O245">
            <v>0</v>
          </cell>
          <cell r="P245">
            <v>0</v>
          </cell>
          <cell r="Q245">
            <v>0</v>
          </cell>
        </row>
        <row r="246">
          <cell r="A246">
            <v>95</v>
          </cell>
          <cell r="B246" t="str">
            <v>33 ـ 11</v>
          </cell>
          <cell r="C246" t="str">
            <v>2017/03/01</v>
          </cell>
          <cell r="D246" t="str">
            <v>مـارس</v>
          </cell>
          <cell r="E246" t="str">
            <v>مرتـب شهـر مـارس 2017 ( صنف المستخدمين موظفين مختلف )</v>
          </cell>
          <cell r="F246">
            <v>5500</v>
          </cell>
          <cell r="G246">
            <v>366690.3</v>
          </cell>
          <cell r="H246">
            <v>0</v>
          </cell>
          <cell r="I246">
            <v>0</v>
          </cell>
          <cell r="J246">
            <v>0</v>
          </cell>
          <cell r="K246">
            <v>0</v>
          </cell>
          <cell r="L246">
            <v>0</v>
          </cell>
          <cell r="M246">
            <v>0</v>
          </cell>
          <cell r="N246">
            <v>0</v>
          </cell>
          <cell r="O246">
            <v>0</v>
          </cell>
          <cell r="P246">
            <v>0</v>
          </cell>
          <cell r="Q246">
            <v>0</v>
          </cell>
        </row>
        <row r="247">
          <cell r="A247">
            <v>96</v>
          </cell>
          <cell r="B247" t="str">
            <v>31 ـ 11</v>
          </cell>
          <cell r="C247" t="str">
            <v>2017/03/01</v>
          </cell>
          <cell r="D247" t="str">
            <v>مـارس</v>
          </cell>
          <cell r="E247" t="str">
            <v>مرتـب شهـر مـارس 2017 ( صنف المستخدمين موظفين مختلف )</v>
          </cell>
          <cell r="F247">
            <v>1355194.12</v>
          </cell>
          <cell r="G247">
            <v>0</v>
          </cell>
          <cell r="H247">
            <v>0</v>
          </cell>
          <cell r="I247">
            <v>0</v>
          </cell>
          <cell r="J247">
            <v>0</v>
          </cell>
          <cell r="K247">
            <v>0</v>
          </cell>
          <cell r="L247">
            <v>0</v>
          </cell>
          <cell r="M247">
            <v>0</v>
          </cell>
          <cell r="N247">
            <v>0</v>
          </cell>
          <cell r="O247">
            <v>0</v>
          </cell>
          <cell r="P247">
            <v>0</v>
          </cell>
          <cell r="Q247">
            <v>0</v>
          </cell>
        </row>
        <row r="248">
          <cell r="A248">
            <v>96</v>
          </cell>
          <cell r="B248" t="str">
            <v>31 ـ 12</v>
          </cell>
          <cell r="C248" t="str">
            <v>2017/03/01</v>
          </cell>
          <cell r="D248" t="str">
            <v>مـارس</v>
          </cell>
          <cell r="E248" t="str">
            <v>مرتـب شهـر مـارس 2017 ( صنف المستخدمين موظفين مختلف )</v>
          </cell>
          <cell r="F248">
            <v>1429166.93</v>
          </cell>
          <cell r="G248">
            <v>0</v>
          </cell>
          <cell r="H248">
            <v>0</v>
          </cell>
          <cell r="I248">
            <v>0</v>
          </cell>
          <cell r="J248">
            <v>0</v>
          </cell>
          <cell r="K248">
            <v>0</v>
          </cell>
          <cell r="L248">
            <v>0</v>
          </cell>
          <cell r="M248">
            <v>0</v>
          </cell>
          <cell r="N248">
            <v>0</v>
          </cell>
          <cell r="O248">
            <v>0</v>
          </cell>
          <cell r="P248">
            <v>0</v>
          </cell>
          <cell r="Q248">
            <v>0</v>
          </cell>
        </row>
        <row r="249">
          <cell r="A249">
            <v>96</v>
          </cell>
          <cell r="B249" t="str">
            <v>33 ـ 11</v>
          </cell>
          <cell r="C249" t="str">
            <v>2017/03/01</v>
          </cell>
          <cell r="D249" t="str">
            <v>مـارس</v>
          </cell>
          <cell r="E249" t="str">
            <v>مرتـب شهـر مـارس 2017 ( صنف المستخدمين موظفين مختلف )</v>
          </cell>
          <cell r="F249">
            <v>25413.75</v>
          </cell>
          <cell r="G249">
            <v>2809774.8</v>
          </cell>
          <cell r="H249">
            <v>0</v>
          </cell>
          <cell r="I249">
            <v>0</v>
          </cell>
          <cell r="J249">
            <v>0</v>
          </cell>
          <cell r="K249">
            <v>0</v>
          </cell>
          <cell r="L249">
            <v>0</v>
          </cell>
          <cell r="M249">
            <v>0</v>
          </cell>
          <cell r="N249">
            <v>0</v>
          </cell>
          <cell r="O249">
            <v>0</v>
          </cell>
          <cell r="P249">
            <v>0</v>
          </cell>
          <cell r="Q249">
            <v>0</v>
          </cell>
        </row>
        <row r="250">
          <cell r="A250">
            <v>97</v>
          </cell>
          <cell r="B250" t="str">
            <v>31 ـ 11</v>
          </cell>
          <cell r="C250" t="str">
            <v>2017/03/01</v>
          </cell>
          <cell r="D250" t="str">
            <v>مـارس</v>
          </cell>
          <cell r="E250" t="str">
            <v>مرتـب شهـر مـارس 2017 ( صنف المستخدمين موظفين مختلف )</v>
          </cell>
          <cell r="F250">
            <v>21150</v>
          </cell>
          <cell r="G250">
            <v>0</v>
          </cell>
          <cell r="H250">
            <v>0</v>
          </cell>
          <cell r="I250">
            <v>0</v>
          </cell>
          <cell r="J250">
            <v>0</v>
          </cell>
          <cell r="K250">
            <v>0</v>
          </cell>
          <cell r="L250">
            <v>0</v>
          </cell>
          <cell r="M250">
            <v>0</v>
          </cell>
          <cell r="N250">
            <v>0</v>
          </cell>
          <cell r="O250">
            <v>0</v>
          </cell>
          <cell r="P250">
            <v>0</v>
          </cell>
          <cell r="Q250">
            <v>0</v>
          </cell>
        </row>
        <row r="251">
          <cell r="A251">
            <v>97</v>
          </cell>
          <cell r="B251" t="str">
            <v>31 ـ 12</v>
          </cell>
          <cell r="C251" t="str">
            <v>2017/03/01</v>
          </cell>
          <cell r="D251" t="str">
            <v>مـارس</v>
          </cell>
          <cell r="E251" t="str">
            <v>مرتـب شهـر مـارس 2017 ( صنف المستخدمين موظفين مختلف )</v>
          </cell>
          <cell r="F251">
            <v>11235.83</v>
          </cell>
          <cell r="G251">
            <v>0</v>
          </cell>
          <cell r="H251">
            <v>0</v>
          </cell>
          <cell r="I251">
            <v>0</v>
          </cell>
          <cell r="J251">
            <v>0</v>
          </cell>
          <cell r="K251">
            <v>0</v>
          </cell>
          <cell r="L251">
            <v>0</v>
          </cell>
          <cell r="M251">
            <v>0</v>
          </cell>
          <cell r="N251">
            <v>0</v>
          </cell>
          <cell r="O251">
            <v>0</v>
          </cell>
          <cell r="P251">
            <v>0</v>
          </cell>
          <cell r="Q251">
            <v>0</v>
          </cell>
        </row>
        <row r="252">
          <cell r="A252">
            <v>97</v>
          </cell>
          <cell r="B252" t="str">
            <v>33 ـ 11</v>
          </cell>
          <cell r="C252" t="str">
            <v>2017/03/01</v>
          </cell>
          <cell r="D252" t="str">
            <v>مـارس</v>
          </cell>
          <cell r="E252" t="str">
            <v>مرتـب شهـر مـارس 2017 ( صنف المستخدمين موظفين مختلف )</v>
          </cell>
          <cell r="F252">
            <v>1722.5</v>
          </cell>
          <cell r="G252">
            <v>34108.33</v>
          </cell>
          <cell r="H252">
            <v>0</v>
          </cell>
          <cell r="I252">
            <v>0</v>
          </cell>
          <cell r="J252">
            <v>0</v>
          </cell>
          <cell r="K252">
            <v>0</v>
          </cell>
          <cell r="L252">
            <v>0</v>
          </cell>
          <cell r="M252">
            <v>0</v>
          </cell>
          <cell r="N252">
            <v>0</v>
          </cell>
          <cell r="O252">
            <v>0</v>
          </cell>
          <cell r="P252">
            <v>0</v>
          </cell>
          <cell r="Q252">
            <v>0</v>
          </cell>
        </row>
        <row r="253">
          <cell r="A253">
            <v>98</v>
          </cell>
          <cell r="B253" t="str">
            <v>31 ـ 11</v>
          </cell>
          <cell r="C253" t="str">
            <v>2017/03/01</v>
          </cell>
          <cell r="D253" t="str">
            <v>مـارس</v>
          </cell>
          <cell r="E253" t="str">
            <v>مرتـب شهـر مـارس 2017 ( صنف المستخدمين موظفين مختلف )</v>
          </cell>
          <cell r="F253">
            <v>214875</v>
          </cell>
          <cell r="G253">
            <v>0</v>
          </cell>
          <cell r="H253">
            <v>0</v>
          </cell>
          <cell r="I253">
            <v>0</v>
          </cell>
          <cell r="J253">
            <v>0</v>
          </cell>
          <cell r="K253">
            <v>0</v>
          </cell>
          <cell r="L253">
            <v>0</v>
          </cell>
          <cell r="M253">
            <v>0</v>
          </cell>
          <cell r="N253">
            <v>0</v>
          </cell>
          <cell r="O253">
            <v>0</v>
          </cell>
          <cell r="P253">
            <v>0</v>
          </cell>
          <cell r="Q253">
            <v>0</v>
          </cell>
        </row>
        <row r="254">
          <cell r="A254">
            <v>98</v>
          </cell>
          <cell r="B254" t="str">
            <v>31 ـ 12</v>
          </cell>
          <cell r="C254" t="str">
            <v>2017/03/01</v>
          </cell>
          <cell r="D254" t="str">
            <v>مـارس</v>
          </cell>
          <cell r="E254" t="str">
            <v>مرتـب شهـر مـارس 2017 ( صنف المستخدمين موظفين مختلف )</v>
          </cell>
          <cell r="F254">
            <v>115570.8</v>
          </cell>
          <cell r="G254">
            <v>0</v>
          </cell>
          <cell r="H254">
            <v>0</v>
          </cell>
          <cell r="I254">
            <v>0</v>
          </cell>
          <cell r="J254">
            <v>0</v>
          </cell>
          <cell r="K254">
            <v>0</v>
          </cell>
          <cell r="L254">
            <v>0</v>
          </cell>
          <cell r="M254">
            <v>0</v>
          </cell>
          <cell r="N254">
            <v>0</v>
          </cell>
          <cell r="O254">
            <v>0</v>
          </cell>
          <cell r="P254">
            <v>0</v>
          </cell>
          <cell r="Q254">
            <v>0</v>
          </cell>
        </row>
        <row r="255">
          <cell r="A255">
            <v>98</v>
          </cell>
          <cell r="B255" t="str">
            <v>33 ـ 11</v>
          </cell>
          <cell r="C255" t="str">
            <v>2017/03/01</v>
          </cell>
          <cell r="D255" t="str">
            <v>مـارس</v>
          </cell>
          <cell r="E255" t="str">
            <v>مرتـب شهـر مـارس 2017 ( صنف المستخدمين موظفين مختلف )</v>
          </cell>
          <cell r="F255">
            <v>7733.75</v>
          </cell>
          <cell r="G255">
            <v>338179.55</v>
          </cell>
          <cell r="H255">
            <v>0</v>
          </cell>
          <cell r="I255">
            <v>0</v>
          </cell>
          <cell r="J255">
            <v>0</v>
          </cell>
          <cell r="K255">
            <v>0</v>
          </cell>
          <cell r="L255">
            <v>0</v>
          </cell>
          <cell r="M255">
            <v>0</v>
          </cell>
          <cell r="N255">
            <v>0</v>
          </cell>
          <cell r="O255">
            <v>0</v>
          </cell>
          <cell r="P255">
            <v>0</v>
          </cell>
          <cell r="Q255">
            <v>0</v>
          </cell>
        </row>
        <row r="256">
          <cell r="A256">
            <v>99</v>
          </cell>
          <cell r="B256" t="str">
            <v>31 ـ 11</v>
          </cell>
          <cell r="C256" t="str">
            <v>2017/03/01</v>
          </cell>
          <cell r="D256" t="str">
            <v>مـارس</v>
          </cell>
          <cell r="E256" t="str">
            <v>مرتـب شهـر مـارس 2017 ( صنف المستخدمين الوظائف العليا )</v>
          </cell>
          <cell r="F256">
            <v>98667</v>
          </cell>
          <cell r="G256">
            <v>0</v>
          </cell>
          <cell r="H256">
            <v>0</v>
          </cell>
          <cell r="I256">
            <v>0</v>
          </cell>
          <cell r="J256">
            <v>0</v>
          </cell>
          <cell r="K256">
            <v>0</v>
          </cell>
          <cell r="L256">
            <v>0</v>
          </cell>
          <cell r="M256">
            <v>0</v>
          </cell>
          <cell r="N256">
            <v>0</v>
          </cell>
          <cell r="O256">
            <v>0</v>
          </cell>
          <cell r="P256">
            <v>0</v>
          </cell>
          <cell r="Q256">
            <v>0</v>
          </cell>
        </row>
        <row r="257">
          <cell r="A257">
            <v>99</v>
          </cell>
          <cell r="B257" t="str">
            <v>31 ـ 12</v>
          </cell>
          <cell r="C257" t="str">
            <v>2017/03/01</v>
          </cell>
          <cell r="D257" t="str">
            <v>مـارس</v>
          </cell>
          <cell r="E257" t="str">
            <v>مرتـب شهـر مـارس 2017 ( صنف المستخدمين الوظائف العليا )</v>
          </cell>
          <cell r="F257">
            <v>154033.82999999999</v>
          </cell>
          <cell r="G257">
            <v>0</v>
          </cell>
          <cell r="H257">
            <v>0</v>
          </cell>
          <cell r="I257">
            <v>0</v>
          </cell>
          <cell r="J257">
            <v>0</v>
          </cell>
          <cell r="K257">
            <v>0</v>
          </cell>
          <cell r="L257">
            <v>0</v>
          </cell>
          <cell r="M257">
            <v>0</v>
          </cell>
          <cell r="N257">
            <v>0</v>
          </cell>
          <cell r="O257">
            <v>0</v>
          </cell>
          <cell r="P257">
            <v>0</v>
          </cell>
          <cell r="Q257">
            <v>0</v>
          </cell>
        </row>
        <row r="258">
          <cell r="A258">
            <v>99</v>
          </cell>
          <cell r="B258" t="str">
            <v>33 ـ 11</v>
          </cell>
          <cell r="C258" t="str">
            <v>2017/03/01</v>
          </cell>
          <cell r="D258" t="str">
            <v>مـارس</v>
          </cell>
          <cell r="E258" t="str">
            <v>مرتـب شهـر مـارس 2017 ( صنف المستخدمين الوظائف العليا )</v>
          </cell>
          <cell r="F258">
            <v>622.5</v>
          </cell>
          <cell r="G258">
            <v>253323.33</v>
          </cell>
          <cell r="H258">
            <v>0</v>
          </cell>
          <cell r="I258">
            <v>0</v>
          </cell>
          <cell r="J258">
            <v>0</v>
          </cell>
          <cell r="K258">
            <v>0</v>
          </cell>
          <cell r="L258">
            <v>0</v>
          </cell>
          <cell r="M258">
            <v>0</v>
          </cell>
          <cell r="N258">
            <v>0</v>
          </cell>
          <cell r="O258">
            <v>0</v>
          </cell>
          <cell r="P258">
            <v>0</v>
          </cell>
          <cell r="Q258">
            <v>0</v>
          </cell>
        </row>
        <row r="259">
          <cell r="A259">
            <v>100</v>
          </cell>
          <cell r="B259" t="str">
            <v>31 ـ 11</v>
          </cell>
          <cell r="C259" t="str">
            <v>2017/03/01</v>
          </cell>
          <cell r="D259" t="str">
            <v>مـارس</v>
          </cell>
          <cell r="E259" t="str">
            <v>مرتـب شهـر مـارس 2017 ( صنف المستخدمين موظفين مختلف )</v>
          </cell>
          <cell r="F259">
            <v>27945</v>
          </cell>
          <cell r="G259">
            <v>0</v>
          </cell>
          <cell r="H259">
            <v>0</v>
          </cell>
          <cell r="I259">
            <v>0</v>
          </cell>
          <cell r="J259">
            <v>0</v>
          </cell>
          <cell r="K259">
            <v>0</v>
          </cell>
          <cell r="L259">
            <v>0</v>
          </cell>
          <cell r="M259">
            <v>0</v>
          </cell>
          <cell r="N259">
            <v>0</v>
          </cell>
          <cell r="O259">
            <v>0</v>
          </cell>
          <cell r="P259">
            <v>0</v>
          </cell>
          <cell r="Q259">
            <v>0</v>
          </cell>
        </row>
        <row r="260">
          <cell r="A260">
            <v>100</v>
          </cell>
          <cell r="B260" t="str">
            <v>31 ـ 12</v>
          </cell>
          <cell r="C260" t="str">
            <v>2017/03/01</v>
          </cell>
          <cell r="D260" t="str">
            <v>مـارس</v>
          </cell>
          <cell r="E260" t="str">
            <v>مرتـب شهـر مـارس 2017 ( صنف المستخدمين موظفين مختلف )</v>
          </cell>
          <cell r="F260">
            <v>15505.83</v>
          </cell>
          <cell r="G260">
            <v>43450.83</v>
          </cell>
          <cell r="H260">
            <v>0</v>
          </cell>
          <cell r="I260">
            <v>0</v>
          </cell>
          <cell r="J260">
            <v>0</v>
          </cell>
          <cell r="K260">
            <v>0</v>
          </cell>
          <cell r="L260">
            <v>0</v>
          </cell>
          <cell r="M260">
            <v>0</v>
          </cell>
          <cell r="N260">
            <v>0</v>
          </cell>
          <cell r="O260">
            <v>0</v>
          </cell>
          <cell r="P260">
            <v>0</v>
          </cell>
          <cell r="Q260">
            <v>0</v>
          </cell>
        </row>
        <row r="261">
          <cell r="A261">
            <v>101</v>
          </cell>
          <cell r="B261" t="str">
            <v>33 ـ 13</v>
          </cell>
          <cell r="C261" t="str">
            <v>2017/03/01</v>
          </cell>
          <cell r="D261" t="str">
            <v>مـارس</v>
          </cell>
          <cell r="E261">
            <v>0</v>
          </cell>
          <cell r="F261">
            <v>3870359.72</v>
          </cell>
          <cell r="G261">
            <v>0</v>
          </cell>
          <cell r="H261">
            <v>0</v>
          </cell>
          <cell r="I261">
            <v>0</v>
          </cell>
          <cell r="J261">
            <v>0</v>
          </cell>
          <cell r="K261">
            <v>0</v>
          </cell>
          <cell r="L261">
            <v>0</v>
          </cell>
          <cell r="M261">
            <v>0</v>
          </cell>
          <cell r="N261">
            <v>0</v>
          </cell>
          <cell r="O261">
            <v>0</v>
          </cell>
          <cell r="P261">
            <v>0</v>
          </cell>
          <cell r="Q261">
            <v>0</v>
          </cell>
        </row>
        <row r="262">
          <cell r="A262">
            <v>102</v>
          </cell>
          <cell r="B262" t="str">
            <v>31 ـ 11</v>
          </cell>
          <cell r="C262" t="str">
            <v>2017/03/01</v>
          </cell>
          <cell r="D262" t="str">
            <v>مـارس</v>
          </cell>
          <cell r="E262" t="str">
            <v>مرتـب شهـر مـارس 2017 ( صنف المستخدمين المندوبين المكلفين بمهمة الأمن )</v>
          </cell>
          <cell r="F262">
            <v>179015.94</v>
          </cell>
          <cell r="G262">
            <v>0</v>
          </cell>
          <cell r="H262">
            <v>0</v>
          </cell>
          <cell r="I262">
            <v>0</v>
          </cell>
          <cell r="J262">
            <v>0</v>
          </cell>
          <cell r="K262">
            <v>0</v>
          </cell>
          <cell r="L262">
            <v>0</v>
          </cell>
          <cell r="M262">
            <v>0</v>
          </cell>
          <cell r="N262">
            <v>0</v>
          </cell>
          <cell r="O262">
            <v>0</v>
          </cell>
          <cell r="P262">
            <v>0</v>
          </cell>
          <cell r="Q262">
            <v>0</v>
          </cell>
        </row>
        <row r="263">
          <cell r="A263">
            <v>102</v>
          </cell>
          <cell r="B263" t="str">
            <v>31 ـ 12</v>
          </cell>
          <cell r="C263" t="str">
            <v>2017/03/01</v>
          </cell>
          <cell r="D263" t="str">
            <v>مـارس</v>
          </cell>
          <cell r="E263" t="str">
            <v>مرتـب شهـر مـارس 2017 ( صنف المستخدمين المندوبين المكلفين بمهمة الأمن )</v>
          </cell>
          <cell r="F263">
            <v>95997.92</v>
          </cell>
          <cell r="G263">
            <v>0</v>
          </cell>
          <cell r="H263">
            <v>0</v>
          </cell>
          <cell r="I263">
            <v>0</v>
          </cell>
          <cell r="J263">
            <v>0</v>
          </cell>
          <cell r="K263">
            <v>0</v>
          </cell>
          <cell r="L263">
            <v>0</v>
          </cell>
          <cell r="M263">
            <v>0</v>
          </cell>
          <cell r="N263">
            <v>0</v>
          </cell>
          <cell r="O263">
            <v>0</v>
          </cell>
          <cell r="P263">
            <v>0</v>
          </cell>
          <cell r="Q263">
            <v>0</v>
          </cell>
        </row>
        <row r="264">
          <cell r="A264">
            <v>102</v>
          </cell>
          <cell r="B264" t="str">
            <v>33 ـ 11</v>
          </cell>
          <cell r="C264" t="str">
            <v>2017/03/01</v>
          </cell>
          <cell r="D264" t="str">
            <v>مـارس</v>
          </cell>
          <cell r="E264" t="str">
            <v>مرتـب شهـر مـارس 2017 ( صنف المستخدمين المندوبين المكلفين بمهمة الأمن )</v>
          </cell>
          <cell r="F264">
            <v>8100</v>
          </cell>
          <cell r="G264">
            <v>283113.86</v>
          </cell>
          <cell r="H264">
            <v>0</v>
          </cell>
          <cell r="I264">
            <v>0</v>
          </cell>
          <cell r="J264">
            <v>0</v>
          </cell>
          <cell r="K264">
            <v>0</v>
          </cell>
          <cell r="L264">
            <v>0</v>
          </cell>
          <cell r="M264">
            <v>0</v>
          </cell>
          <cell r="N264">
            <v>0</v>
          </cell>
          <cell r="O264">
            <v>0</v>
          </cell>
          <cell r="P264">
            <v>0</v>
          </cell>
          <cell r="Q264">
            <v>0</v>
          </cell>
        </row>
        <row r="265">
          <cell r="A265">
            <v>103</v>
          </cell>
          <cell r="B265" t="str">
            <v>33 ـ 13</v>
          </cell>
          <cell r="C265" t="str">
            <v>2017/03/01</v>
          </cell>
          <cell r="D265" t="str">
            <v>مـارس</v>
          </cell>
          <cell r="E265" t="str">
            <v>مرتـب شهـر مـارس 2017 ( صنف المستخدمين المندوبين المكلفين بمهمة الأمن )</v>
          </cell>
          <cell r="F265">
            <v>68753.45</v>
          </cell>
          <cell r="G265">
            <v>0</v>
          </cell>
          <cell r="H265">
            <v>0</v>
          </cell>
          <cell r="I265">
            <v>0</v>
          </cell>
          <cell r="J265">
            <v>0</v>
          </cell>
          <cell r="K265">
            <v>0</v>
          </cell>
          <cell r="L265">
            <v>0</v>
          </cell>
          <cell r="M265">
            <v>0</v>
          </cell>
          <cell r="N265">
            <v>0</v>
          </cell>
          <cell r="O265">
            <v>0</v>
          </cell>
          <cell r="P265">
            <v>0</v>
          </cell>
          <cell r="Q265">
            <v>0</v>
          </cell>
        </row>
        <row r="266">
          <cell r="A266">
            <v>104</v>
          </cell>
          <cell r="B266" t="str">
            <v>31 ـ 13</v>
          </cell>
          <cell r="C266" t="str">
            <v>2017/03/01</v>
          </cell>
          <cell r="D266" t="str">
            <v>مـارس</v>
          </cell>
          <cell r="E266" t="str">
            <v>مرتـب شهـر مـارس 2017 ( صنف المستخدمين أعوان الوقاية ومتعاقدين توقيت كلي و جزئي )</v>
          </cell>
          <cell r="F266">
            <v>115354.24000000001</v>
          </cell>
          <cell r="G266">
            <v>0</v>
          </cell>
          <cell r="H266">
            <v>0</v>
          </cell>
          <cell r="I266">
            <v>0</v>
          </cell>
          <cell r="J266">
            <v>0</v>
          </cell>
          <cell r="K266">
            <v>0</v>
          </cell>
          <cell r="L266">
            <v>0</v>
          </cell>
          <cell r="M266">
            <v>0</v>
          </cell>
          <cell r="N266">
            <v>0</v>
          </cell>
          <cell r="O266">
            <v>0</v>
          </cell>
          <cell r="P266">
            <v>0</v>
          </cell>
          <cell r="Q266">
            <v>0</v>
          </cell>
        </row>
        <row r="267">
          <cell r="A267">
            <v>104</v>
          </cell>
          <cell r="B267" t="str">
            <v>31 ـ 13</v>
          </cell>
          <cell r="C267" t="str">
            <v>2017/03/01</v>
          </cell>
          <cell r="D267" t="str">
            <v>مـارس</v>
          </cell>
          <cell r="E267" t="str">
            <v>مرتـب شهـر مـارس 2017 ( صنف المستخدمين أعوان الوقاية ومتعاقدين توقيت كلي و جزئي )</v>
          </cell>
          <cell r="F267">
            <v>79368.89</v>
          </cell>
          <cell r="G267">
            <v>0</v>
          </cell>
          <cell r="H267">
            <v>0</v>
          </cell>
          <cell r="I267">
            <v>0</v>
          </cell>
          <cell r="J267">
            <v>0</v>
          </cell>
          <cell r="K267">
            <v>0</v>
          </cell>
          <cell r="L267">
            <v>0</v>
          </cell>
          <cell r="M267">
            <v>0</v>
          </cell>
          <cell r="N267">
            <v>0</v>
          </cell>
          <cell r="O267">
            <v>0</v>
          </cell>
          <cell r="P267">
            <v>0</v>
          </cell>
          <cell r="Q267">
            <v>0</v>
          </cell>
        </row>
        <row r="268">
          <cell r="A268">
            <v>104</v>
          </cell>
          <cell r="B268" t="str">
            <v>31 ـ 13</v>
          </cell>
          <cell r="C268" t="str">
            <v>2017/03/01</v>
          </cell>
          <cell r="D268" t="str">
            <v>مـارس</v>
          </cell>
          <cell r="E268" t="str">
            <v>مرتـب شهـر مـارس 2017 ( صنف المستخدمين أعوان الوقاية ومتعاقدين توقيت كلي و جزئي )</v>
          </cell>
          <cell r="F268">
            <v>11111.25</v>
          </cell>
          <cell r="G268">
            <v>205834.38</v>
          </cell>
          <cell r="H268">
            <v>0</v>
          </cell>
          <cell r="I268">
            <v>0</v>
          </cell>
          <cell r="J268">
            <v>0</v>
          </cell>
          <cell r="K268">
            <v>0</v>
          </cell>
          <cell r="L268">
            <v>0</v>
          </cell>
          <cell r="M268">
            <v>0</v>
          </cell>
          <cell r="N268">
            <v>0</v>
          </cell>
          <cell r="O268">
            <v>0</v>
          </cell>
          <cell r="P268">
            <v>0</v>
          </cell>
          <cell r="Q268">
            <v>0</v>
          </cell>
        </row>
        <row r="269">
          <cell r="A269">
            <v>105</v>
          </cell>
          <cell r="B269" t="str">
            <v>31 ـ 13</v>
          </cell>
          <cell r="C269" t="str">
            <v>2017/03/01</v>
          </cell>
          <cell r="D269" t="str">
            <v>مـارس</v>
          </cell>
          <cell r="E269" t="str">
            <v>مرتـب شهـر مـارس 2017 ( صنف المستخدمين أعوان الوقاية ومتعاقدين توقيت كلي و جزئي )</v>
          </cell>
          <cell r="F269">
            <v>169246.65</v>
          </cell>
          <cell r="G269">
            <v>0</v>
          </cell>
          <cell r="H269">
            <v>0</v>
          </cell>
          <cell r="I269">
            <v>0</v>
          </cell>
          <cell r="J269">
            <v>0</v>
          </cell>
          <cell r="K269">
            <v>0</v>
          </cell>
          <cell r="L269">
            <v>0</v>
          </cell>
          <cell r="M269">
            <v>0</v>
          </cell>
          <cell r="N269">
            <v>0</v>
          </cell>
          <cell r="O269">
            <v>0</v>
          </cell>
          <cell r="P269">
            <v>0</v>
          </cell>
          <cell r="Q269">
            <v>0</v>
          </cell>
        </row>
        <row r="270">
          <cell r="A270">
            <v>105</v>
          </cell>
          <cell r="B270" t="str">
            <v>31 ـ 13</v>
          </cell>
          <cell r="C270" t="str">
            <v>2017/03/01</v>
          </cell>
          <cell r="D270" t="str">
            <v>مـارس</v>
          </cell>
          <cell r="E270" t="str">
            <v>مرتـب شهـر مـارس 2017 ( صنف المستخدمين أعوان الوقاية ومتعاقدين توقيت كلي و جزئي )</v>
          </cell>
          <cell r="F270">
            <v>122332.28</v>
          </cell>
          <cell r="G270">
            <v>0</v>
          </cell>
          <cell r="H270">
            <v>0</v>
          </cell>
          <cell r="I270">
            <v>0</v>
          </cell>
          <cell r="J270">
            <v>0</v>
          </cell>
          <cell r="K270">
            <v>0</v>
          </cell>
          <cell r="L270">
            <v>0</v>
          </cell>
          <cell r="M270">
            <v>0</v>
          </cell>
          <cell r="N270">
            <v>0</v>
          </cell>
          <cell r="O270">
            <v>0</v>
          </cell>
          <cell r="P270">
            <v>0</v>
          </cell>
          <cell r="Q270">
            <v>0</v>
          </cell>
        </row>
        <row r="271">
          <cell r="A271">
            <v>105</v>
          </cell>
          <cell r="B271" t="str">
            <v>31 ـ 13</v>
          </cell>
          <cell r="C271" t="str">
            <v>2017/03/01</v>
          </cell>
          <cell r="D271" t="str">
            <v>مـارس</v>
          </cell>
          <cell r="E271" t="str">
            <v>مرتـب شهـر مـارس 2017 ( صنف المستخدمين أعوان الوقاية ومتعاقدين توقيت كلي و جزئي )</v>
          </cell>
          <cell r="F271">
            <v>15900</v>
          </cell>
          <cell r="G271">
            <v>307478.93</v>
          </cell>
          <cell r="H271">
            <v>0</v>
          </cell>
          <cell r="I271">
            <v>0</v>
          </cell>
          <cell r="J271">
            <v>0</v>
          </cell>
          <cell r="K271">
            <v>0</v>
          </cell>
          <cell r="L271">
            <v>0</v>
          </cell>
          <cell r="M271">
            <v>0</v>
          </cell>
          <cell r="N271">
            <v>0</v>
          </cell>
          <cell r="O271">
            <v>0</v>
          </cell>
          <cell r="P271">
            <v>0</v>
          </cell>
          <cell r="Q271">
            <v>0</v>
          </cell>
        </row>
        <row r="272">
          <cell r="A272">
            <v>106</v>
          </cell>
          <cell r="B272" t="str">
            <v>31 ـ 13</v>
          </cell>
          <cell r="C272" t="str">
            <v>2017/03/01</v>
          </cell>
          <cell r="D272" t="str">
            <v>مـارس</v>
          </cell>
          <cell r="E272" t="str">
            <v>مرتـب شهـر مـارس 2017 ( صنف المستخدمين أعوان الوقاية ومتعاقدين توقيت كلي و جزئي )</v>
          </cell>
          <cell r="F272">
            <v>71926.66</v>
          </cell>
          <cell r="H272">
            <v>0</v>
          </cell>
        </row>
        <row r="273">
          <cell r="A273">
            <v>106</v>
          </cell>
          <cell r="B273" t="str">
            <v>31 ـ 13</v>
          </cell>
          <cell r="C273" t="str">
            <v>2017/03/01</v>
          </cell>
          <cell r="D273" t="str">
            <v>مـارس</v>
          </cell>
          <cell r="E273" t="str">
            <v>مرتـب شهـر مـارس 2017 ( صنف المستخدمين أعوان الوقاية ومتعاقدين توقيت كلي و جزئي )</v>
          </cell>
          <cell r="F273">
            <v>46221.15</v>
          </cell>
          <cell r="H273">
            <v>0</v>
          </cell>
        </row>
        <row r="274">
          <cell r="A274">
            <v>106</v>
          </cell>
          <cell r="B274" t="str">
            <v>31 ـ 13</v>
          </cell>
          <cell r="C274" t="str">
            <v>2017/03/01</v>
          </cell>
          <cell r="D274" t="str">
            <v>مـارس</v>
          </cell>
          <cell r="E274" t="str">
            <v>مرتـب شهـر مـارس 2017 ( صنف المستخدمين أعوان الوقاية ومتعاقدين توقيت كلي و جزئي )</v>
          </cell>
          <cell r="F274">
            <v>6200</v>
          </cell>
          <cell r="G274">
            <v>124347.81</v>
          </cell>
          <cell r="H274">
            <v>0</v>
          </cell>
        </row>
        <row r="275">
          <cell r="A275">
            <v>107</v>
          </cell>
          <cell r="B275" t="str">
            <v>31 ـ 13</v>
          </cell>
          <cell r="C275" t="str">
            <v>2017/03/01</v>
          </cell>
          <cell r="D275" t="str">
            <v>مـارس</v>
          </cell>
          <cell r="E275" t="str">
            <v>مرتـب شهـر مـارس 2017 ( صنف المستخدمين أعوان الوقاية ومتعاقدين توقيت كلي و جزئي )</v>
          </cell>
          <cell r="F275">
            <v>186457.65</v>
          </cell>
          <cell r="G275">
            <v>0</v>
          </cell>
          <cell r="H275">
            <v>0</v>
          </cell>
          <cell r="I275">
            <v>0</v>
          </cell>
          <cell r="J275">
            <v>0</v>
          </cell>
          <cell r="K275">
            <v>0</v>
          </cell>
          <cell r="L275">
            <v>0</v>
          </cell>
          <cell r="M275">
            <v>0</v>
          </cell>
          <cell r="N275">
            <v>0</v>
          </cell>
          <cell r="O275">
            <v>0</v>
          </cell>
          <cell r="P275">
            <v>0</v>
          </cell>
          <cell r="Q275">
            <v>0</v>
          </cell>
        </row>
        <row r="276">
          <cell r="A276">
            <v>107</v>
          </cell>
          <cell r="B276" t="str">
            <v>31 ـ 13</v>
          </cell>
          <cell r="C276" t="str">
            <v>2017/03/01</v>
          </cell>
          <cell r="D276" t="str">
            <v>مـارس</v>
          </cell>
          <cell r="E276" t="str">
            <v>مرتـب شهـر مـارس 2017 ( صنف المستخدمين أعوان الوقاية ومتعاقدين توقيت كلي و جزئي )</v>
          </cell>
          <cell r="F276">
            <v>125721.45</v>
          </cell>
          <cell r="G276">
            <v>0</v>
          </cell>
          <cell r="H276">
            <v>0</v>
          </cell>
          <cell r="I276">
            <v>0</v>
          </cell>
          <cell r="J276">
            <v>0</v>
          </cell>
          <cell r="K276">
            <v>0</v>
          </cell>
          <cell r="L276">
            <v>0</v>
          </cell>
          <cell r="M276">
            <v>0</v>
          </cell>
          <cell r="N276">
            <v>0</v>
          </cell>
          <cell r="O276">
            <v>0</v>
          </cell>
          <cell r="P276">
            <v>0</v>
          </cell>
          <cell r="Q276">
            <v>0</v>
          </cell>
        </row>
        <row r="277">
          <cell r="A277">
            <v>107</v>
          </cell>
          <cell r="B277" t="str">
            <v>31 ـ 13</v>
          </cell>
          <cell r="C277" t="str">
            <v>2017/03/01</v>
          </cell>
          <cell r="D277" t="str">
            <v>مـارس</v>
          </cell>
          <cell r="E277" t="str">
            <v>مرتـب شهـر مـارس 2017 ( صنف المستخدمين أعوان الوقاية ومتعاقدين توقيت كلي و جزئي )</v>
          </cell>
          <cell r="F277">
            <v>16522.5</v>
          </cell>
          <cell r="G277">
            <v>328701.59999999998</v>
          </cell>
          <cell r="H277">
            <v>0</v>
          </cell>
          <cell r="I277">
            <v>0</v>
          </cell>
          <cell r="J277">
            <v>0</v>
          </cell>
          <cell r="K277">
            <v>0</v>
          </cell>
          <cell r="L277">
            <v>0</v>
          </cell>
          <cell r="M277">
            <v>0</v>
          </cell>
          <cell r="N277">
            <v>0</v>
          </cell>
          <cell r="O277">
            <v>0</v>
          </cell>
          <cell r="P277">
            <v>0</v>
          </cell>
          <cell r="Q277">
            <v>0</v>
          </cell>
        </row>
        <row r="278">
          <cell r="A278">
            <v>108</v>
          </cell>
          <cell r="B278" t="str">
            <v>31 ـ 13</v>
          </cell>
          <cell r="C278" t="str">
            <v>2017/03/01</v>
          </cell>
          <cell r="D278" t="str">
            <v>مـارس</v>
          </cell>
          <cell r="E278" t="str">
            <v>مرتـب شهـر مـارس 2017 ( صنف المستخدمين أعوان الوقاية ومتعاقدين توقيت كلي و جزئي )</v>
          </cell>
          <cell r="F278">
            <v>1084136.6000000001</v>
          </cell>
          <cell r="G278">
            <v>0</v>
          </cell>
          <cell r="H278">
            <v>0</v>
          </cell>
          <cell r="I278">
            <v>0</v>
          </cell>
          <cell r="J278">
            <v>0</v>
          </cell>
          <cell r="K278">
            <v>0</v>
          </cell>
          <cell r="L278">
            <v>0</v>
          </cell>
          <cell r="M278">
            <v>0</v>
          </cell>
          <cell r="N278">
            <v>0</v>
          </cell>
          <cell r="O278">
            <v>0</v>
          </cell>
          <cell r="P278">
            <v>0</v>
          </cell>
          <cell r="Q278">
            <v>0</v>
          </cell>
        </row>
        <row r="279">
          <cell r="A279">
            <v>108</v>
          </cell>
          <cell r="B279" t="str">
            <v>31 ـ 13</v>
          </cell>
          <cell r="C279" t="str">
            <v>2017/03/01</v>
          </cell>
          <cell r="D279" t="str">
            <v>مـارس</v>
          </cell>
          <cell r="E279" t="str">
            <v>مرتـب شهـر مـارس 2017 ( صنف المستخدمين أعوان الوقاية ومتعاقدين توقيت كلي و جزئي )</v>
          </cell>
          <cell r="F279">
            <v>795432.4</v>
          </cell>
          <cell r="G279">
            <v>0</v>
          </cell>
          <cell r="H279">
            <v>0</v>
          </cell>
          <cell r="I279">
            <v>0</v>
          </cell>
          <cell r="J279">
            <v>0</v>
          </cell>
          <cell r="K279">
            <v>0</v>
          </cell>
          <cell r="L279">
            <v>0</v>
          </cell>
          <cell r="M279">
            <v>0</v>
          </cell>
          <cell r="N279">
            <v>0</v>
          </cell>
          <cell r="O279">
            <v>0</v>
          </cell>
          <cell r="P279">
            <v>0</v>
          </cell>
          <cell r="Q279">
            <v>0</v>
          </cell>
        </row>
        <row r="280">
          <cell r="A280">
            <v>108</v>
          </cell>
          <cell r="B280" t="str">
            <v>31 ـ 13</v>
          </cell>
          <cell r="C280" t="str">
            <v>2017/03/01</v>
          </cell>
          <cell r="D280" t="str">
            <v>مـارس</v>
          </cell>
          <cell r="E280" t="str">
            <v>مرتـب شهـر مـارس 2017 ( صنف المستخدمين أعوان الوقاية ومتعاقدين توقيت كلي و جزئي )</v>
          </cell>
          <cell r="F280">
            <v>96657.5</v>
          </cell>
          <cell r="G280">
            <v>1976226.5</v>
          </cell>
          <cell r="H280">
            <v>0</v>
          </cell>
          <cell r="I280">
            <v>0</v>
          </cell>
          <cell r="J280">
            <v>0</v>
          </cell>
          <cell r="K280">
            <v>0</v>
          </cell>
          <cell r="L280">
            <v>0</v>
          </cell>
          <cell r="M280">
            <v>0</v>
          </cell>
          <cell r="N280">
            <v>0</v>
          </cell>
          <cell r="O280">
            <v>0</v>
          </cell>
          <cell r="P280">
            <v>0</v>
          </cell>
          <cell r="Q280">
            <v>0</v>
          </cell>
        </row>
        <row r="281">
          <cell r="A281">
            <v>109</v>
          </cell>
          <cell r="B281" t="str">
            <v>31 ـ 13</v>
          </cell>
          <cell r="C281" t="str">
            <v>2017/03/01</v>
          </cell>
          <cell r="D281" t="str">
            <v>مـارس</v>
          </cell>
          <cell r="E281" t="str">
            <v>مرتـب شهـر مـارس 2017 ( صنف المستخدمين أعوان الوقاية ومتعاقدين توقيت كلي و جزئي )</v>
          </cell>
          <cell r="F281">
            <v>46646.05</v>
          </cell>
          <cell r="G281">
            <v>0</v>
          </cell>
          <cell r="H281">
            <v>0</v>
          </cell>
          <cell r="I281">
            <v>0</v>
          </cell>
          <cell r="J281">
            <v>0</v>
          </cell>
          <cell r="K281">
            <v>0</v>
          </cell>
          <cell r="L281">
            <v>0</v>
          </cell>
          <cell r="M281">
            <v>0</v>
          </cell>
          <cell r="N281">
            <v>0</v>
          </cell>
          <cell r="O281">
            <v>0</v>
          </cell>
          <cell r="P281">
            <v>0</v>
          </cell>
          <cell r="Q281">
            <v>0</v>
          </cell>
        </row>
        <row r="282">
          <cell r="A282">
            <v>109</v>
          </cell>
          <cell r="B282" t="str">
            <v>31 ـ 13</v>
          </cell>
          <cell r="C282" t="str">
            <v>2017/03/01</v>
          </cell>
          <cell r="D282" t="str">
            <v>مـارس</v>
          </cell>
          <cell r="E282" t="str">
            <v>مرتـب شهـر مـارس 2017 ( صنف المستخدمين أعوان الوقاية ومتعاقدين توقيت كلي و جزئي )</v>
          </cell>
          <cell r="F282">
            <v>34439.019999999997</v>
          </cell>
          <cell r="G282">
            <v>0</v>
          </cell>
          <cell r="H282">
            <v>0</v>
          </cell>
          <cell r="I282">
            <v>0</v>
          </cell>
          <cell r="J282">
            <v>0</v>
          </cell>
          <cell r="K282">
            <v>0</v>
          </cell>
          <cell r="L282">
            <v>0</v>
          </cell>
          <cell r="M282">
            <v>0</v>
          </cell>
          <cell r="N282">
            <v>0</v>
          </cell>
          <cell r="O282">
            <v>0</v>
          </cell>
          <cell r="P282">
            <v>0</v>
          </cell>
          <cell r="Q282">
            <v>0</v>
          </cell>
        </row>
        <row r="283">
          <cell r="A283">
            <v>109</v>
          </cell>
          <cell r="B283" t="str">
            <v>31 ـ 13</v>
          </cell>
          <cell r="C283" t="str">
            <v>2017/03/01</v>
          </cell>
          <cell r="D283" t="str">
            <v>مـارس</v>
          </cell>
          <cell r="E283" t="str">
            <v>مرتـب شهـر مـارس 2017 ( صنف المستخدمين أعوان الوقاية ومتعاقدين توقيت كلي و جزئي )</v>
          </cell>
          <cell r="F283">
            <v>4300</v>
          </cell>
          <cell r="G283">
            <v>85385.07</v>
          </cell>
          <cell r="H283">
            <v>0</v>
          </cell>
          <cell r="I283">
            <v>0</v>
          </cell>
          <cell r="J283">
            <v>0</v>
          </cell>
          <cell r="K283">
            <v>0</v>
          </cell>
          <cell r="L283">
            <v>0</v>
          </cell>
          <cell r="M283">
            <v>0</v>
          </cell>
          <cell r="N283">
            <v>0</v>
          </cell>
          <cell r="O283">
            <v>0</v>
          </cell>
          <cell r="P283">
            <v>0</v>
          </cell>
          <cell r="Q283">
            <v>0</v>
          </cell>
        </row>
        <row r="284">
          <cell r="A284">
            <v>110</v>
          </cell>
          <cell r="B284" t="str">
            <v>31 ـ 13</v>
          </cell>
          <cell r="C284" t="str">
            <v>2017/03/01</v>
          </cell>
          <cell r="D284" t="str">
            <v>مـارس</v>
          </cell>
          <cell r="E284" t="str">
            <v>مرتـب شهـر مـارس 2017 ( صنف المستخدمين متعاقدين عقد غير محدد المدة توقيت 05 سا و 08 سا )</v>
          </cell>
          <cell r="F284">
            <v>719320.76</v>
          </cell>
          <cell r="G284">
            <v>0</v>
          </cell>
          <cell r="H284">
            <v>0</v>
          </cell>
          <cell r="I284">
            <v>0</v>
          </cell>
          <cell r="J284">
            <v>0</v>
          </cell>
          <cell r="K284">
            <v>0</v>
          </cell>
          <cell r="L284">
            <v>0</v>
          </cell>
          <cell r="M284">
            <v>0</v>
          </cell>
          <cell r="N284">
            <v>0</v>
          </cell>
          <cell r="O284">
            <v>0</v>
          </cell>
          <cell r="P284">
            <v>0</v>
          </cell>
          <cell r="Q284">
            <v>0</v>
          </cell>
        </row>
        <row r="285">
          <cell r="A285">
            <v>111</v>
          </cell>
          <cell r="B285" t="str">
            <v>31 ـ 13</v>
          </cell>
          <cell r="C285" t="str">
            <v>2017/03/01</v>
          </cell>
          <cell r="D285" t="str">
            <v>مـارس</v>
          </cell>
          <cell r="E285" t="str">
            <v>مرتـب شهـر مـارس 2017 ( صنف المستخدمين توقيت جزئي )</v>
          </cell>
          <cell r="F285">
            <v>40311.269999999997</v>
          </cell>
          <cell r="G285">
            <v>0</v>
          </cell>
          <cell r="H285">
            <v>0</v>
          </cell>
          <cell r="I285">
            <v>0</v>
          </cell>
          <cell r="J285">
            <v>0</v>
          </cell>
          <cell r="K285">
            <v>0</v>
          </cell>
          <cell r="L285">
            <v>0</v>
          </cell>
          <cell r="M285">
            <v>0</v>
          </cell>
          <cell r="N285">
            <v>0</v>
          </cell>
          <cell r="O285">
            <v>0</v>
          </cell>
          <cell r="P285">
            <v>0</v>
          </cell>
          <cell r="Q285">
            <v>0</v>
          </cell>
        </row>
        <row r="286">
          <cell r="A286">
            <v>111</v>
          </cell>
          <cell r="B286" t="str">
            <v>31 ـ 13</v>
          </cell>
          <cell r="C286" t="str">
            <v>2017/03/01</v>
          </cell>
          <cell r="D286" t="str">
            <v>مـارس</v>
          </cell>
          <cell r="E286" t="str">
            <v>مرتـب شهـر مـارس 2017 ( صنف المستخدمين توقيت جزئي )</v>
          </cell>
          <cell r="F286">
            <v>35115.11</v>
          </cell>
          <cell r="G286">
            <v>0</v>
          </cell>
          <cell r="H286">
            <v>0</v>
          </cell>
          <cell r="I286">
            <v>0</v>
          </cell>
          <cell r="J286">
            <v>0</v>
          </cell>
          <cell r="K286">
            <v>0</v>
          </cell>
          <cell r="L286">
            <v>0</v>
          </cell>
          <cell r="M286">
            <v>0</v>
          </cell>
          <cell r="N286">
            <v>0</v>
          </cell>
          <cell r="O286">
            <v>0</v>
          </cell>
          <cell r="P286">
            <v>0</v>
          </cell>
          <cell r="Q286">
            <v>0</v>
          </cell>
        </row>
        <row r="287">
          <cell r="A287">
            <v>111</v>
          </cell>
          <cell r="B287" t="str">
            <v>31 ـ 13</v>
          </cell>
          <cell r="C287" t="str">
            <v>2017/03/01</v>
          </cell>
          <cell r="D287" t="str">
            <v>مـارس</v>
          </cell>
          <cell r="E287" t="str">
            <v>مرتـب شهـر مـارس 2017 ( صنف المستخدمين توقيت جزئي )</v>
          </cell>
          <cell r="F287">
            <v>2811.25</v>
          </cell>
          <cell r="G287">
            <v>78237.63</v>
          </cell>
          <cell r="H287">
            <v>0</v>
          </cell>
          <cell r="I287">
            <v>0</v>
          </cell>
          <cell r="J287">
            <v>0</v>
          </cell>
          <cell r="K287">
            <v>0</v>
          </cell>
          <cell r="L287">
            <v>0</v>
          </cell>
          <cell r="M287">
            <v>0</v>
          </cell>
          <cell r="N287">
            <v>0</v>
          </cell>
          <cell r="O287">
            <v>0</v>
          </cell>
          <cell r="P287">
            <v>0</v>
          </cell>
          <cell r="Q287">
            <v>0</v>
          </cell>
        </row>
        <row r="288">
          <cell r="A288">
            <v>112</v>
          </cell>
          <cell r="B288" t="str">
            <v>31 ـ 13</v>
          </cell>
          <cell r="C288" t="str">
            <v>2017/03/01</v>
          </cell>
          <cell r="D288" t="str">
            <v>مـارس</v>
          </cell>
          <cell r="E288" t="str">
            <v>مرتـب شهـر مـارس 2017 ( صنف المستخدمين توقيت جزئي )</v>
          </cell>
          <cell r="F288">
            <v>147486.14000000001</v>
          </cell>
          <cell r="G288">
            <v>0</v>
          </cell>
          <cell r="H288">
            <v>0</v>
          </cell>
          <cell r="I288">
            <v>0</v>
          </cell>
          <cell r="J288">
            <v>0</v>
          </cell>
          <cell r="K288">
            <v>0</v>
          </cell>
          <cell r="L288">
            <v>0</v>
          </cell>
          <cell r="M288">
            <v>0</v>
          </cell>
          <cell r="N288">
            <v>0</v>
          </cell>
          <cell r="O288">
            <v>0</v>
          </cell>
          <cell r="P288">
            <v>0</v>
          </cell>
          <cell r="Q288">
            <v>0</v>
          </cell>
        </row>
        <row r="289">
          <cell r="A289">
            <v>112</v>
          </cell>
          <cell r="B289" t="str">
            <v>31 ـ 13</v>
          </cell>
          <cell r="C289" t="str">
            <v>2017/03/01</v>
          </cell>
          <cell r="D289" t="str">
            <v>مـارس</v>
          </cell>
          <cell r="E289" t="str">
            <v>مرتـب شهـر مـارس 2017 ( صنف المستخدمين توقيت جزئي )</v>
          </cell>
          <cell r="F289">
            <v>127369.8</v>
          </cell>
          <cell r="G289">
            <v>0</v>
          </cell>
          <cell r="H289">
            <v>0</v>
          </cell>
          <cell r="I289">
            <v>0</v>
          </cell>
          <cell r="J289">
            <v>0</v>
          </cell>
          <cell r="K289">
            <v>0</v>
          </cell>
          <cell r="L289">
            <v>0</v>
          </cell>
          <cell r="M289">
            <v>0</v>
          </cell>
          <cell r="N289">
            <v>0</v>
          </cell>
          <cell r="O289">
            <v>0</v>
          </cell>
          <cell r="P289">
            <v>0</v>
          </cell>
          <cell r="Q289">
            <v>0</v>
          </cell>
        </row>
        <row r="290">
          <cell r="A290">
            <v>112</v>
          </cell>
          <cell r="B290" t="str">
            <v>31 ـ 13</v>
          </cell>
          <cell r="C290" t="str">
            <v>2017/03/01</v>
          </cell>
          <cell r="D290" t="str">
            <v>مـارس</v>
          </cell>
          <cell r="E290" t="str">
            <v>مرتـب شهـر مـارس 2017 ( صنف المستخدمين توقيت جزئي )</v>
          </cell>
          <cell r="F290">
            <v>9833.75</v>
          </cell>
          <cell r="G290">
            <v>284689.69</v>
          </cell>
          <cell r="H290">
            <v>0</v>
          </cell>
          <cell r="I290">
            <v>0</v>
          </cell>
          <cell r="J290">
            <v>0</v>
          </cell>
          <cell r="K290">
            <v>0</v>
          </cell>
          <cell r="L290">
            <v>0</v>
          </cell>
          <cell r="M290">
            <v>0</v>
          </cell>
          <cell r="N290">
            <v>0</v>
          </cell>
          <cell r="O290">
            <v>0</v>
          </cell>
          <cell r="P290">
            <v>0</v>
          </cell>
          <cell r="Q290">
            <v>0</v>
          </cell>
        </row>
        <row r="291">
          <cell r="A291">
            <v>113</v>
          </cell>
          <cell r="B291" t="str">
            <v>31 ـ 13</v>
          </cell>
          <cell r="C291" t="str">
            <v>2017/03/01</v>
          </cell>
          <cell r="D291" t="str">
            <v>مـارس</v>
          </cell>
          <cell r="E291" t="str">
            <v>مرتـب شهـر مـارس 2017 ( صنف المستخدمين متعاقدين عقد غير محدد المدة توقيت 05 سا و 08 سا )</v>
          </cell>
          <cell r="F291">
            <v>87570.57</v>
          </cell>
          <cell r="G291">
            <v>0</v>
          </cell>
          <cell r="H291">
            <v>0</v>
          </cell>
          <cell r="I291">
            <v>0</v>
          </cell>
          <cell r="J291">
            <v>0</v>
          </cell>
          <cell r="K291">
            <v>0</v>
          </cell>
          <cell r="L291">
            <v>0</v>
          </cell>
          <cell r="M291">
            <v>0</v>
          </cell>
          <cell r="N291">
            <v>0</v>
          </cell>
          <cell r="O291">
            <v>0</v>
          </cell>
          <cell r="P291">
            <v>0</v>
          </cell>
          <cell r="Q291">
            <v>0</v>
          </cell>
        </row>
        <row r="292">
          <cell r="A292">
            <v>114</v>
          </cell>
          <cell r="B292" t="str">
            <v>32 ـ 12</v>
          </cell>
          <cell r="C292" t="str">
            <v>2017/03/05</v>
          </cell>
          <cell r="D292" t="str">
            <v>مـارس</v>
          </cell>
          <cell r="E292" t="str">
            <v>مرتـب شهـر مـارس 2017 ( صنف المستخدمين ضحايا الإرهاب )</v>
          </cell>
          <cell r="F292">
            <v>1614288.16</v>
          </cell>
          <cell r="G292">
            <v>0</v>
          </cell>
          <cell r="H292">
            <v>0</v>
          </cell>
          <cell r="I292">
            <v>0</v>
          </cell>
          <cell r="J292">
            <v>0</v>
          </cell>
          <cell r="K292">
            <v>0</v>
          </cell>
          <cell r="L292">
            <v>0</v>
          </cell>
          <cell r="M292">
            <v>0</v>
          </cell>
          <cell r="N292">
            <v>0</v>
          </cell>
          <cell r="O292">
            <v>0</v>
          </cell>
          <cell r="P292">
            <v>0</v>
          </cell>
          <cell r="Q292">
            <v>0</v>
          </cell>
        </row>
        <row r="293">
          <cell r="A293">
            <v>115</v>
          </cell>
          <cell r="B293" t="str">
            <v>32 ـ 12</v>
          </cell>
          <cell r="C293" t="str">
            <v>2017/03/05</v>
          </cell>
          <cell r="D293" t="str">
            <v>مـارس</v>
          </cell>
          <cell r="E293" t="str">
            <v>مرتـب شهـر مـارس 2017 ( صنف المستخدمين ضحايا الإرهاب )</v>
          </cell>
          <cell r="F293">
            <v>247812.37</v>
          </cell>
          <cell r="G293">
            <v>0</v>
          </cell>
          <cell r="H293">
            <v>0</v>
          </cell>
          <cell r="I293">
            <v>0</v>
          </cell>
          <cell r="J293">
            <v>0</v>
          </cell>
          <cell r="K293">
            <v>0</v>
          </cell>
          <cell r="L293">
            <v>0</v>
          </cell>
          <cell r="M293">
            <v>0</v>
          </cell>
          <cell r="N293">
            <v>0</v>
          </cell>
          <cell r="O293">
            <v>0</v>
          </cell>
          <cell r="P293">
            <v>0</v>
          </cell>
          <cell r="Q293">
            <v>0</v>
          </cell>
        </row>
        <row r="294">
          <cell r="A294">
            <v>116</v>
          </cell>
          <cell r="B294" t="str">
            <v>32 ـ 12</v>
          </cell>
          <cell r="C294" t="str">
            <v>2017/03/05</v>
          </cell>
          <cell r="D294" t="str">
            <v>مـارس</v>
          </cell>
          <cell r="E294" t="str">
            <v>مرتـب شهـر مـارس 2017 ( صنف المستخدمين ضحايا الإرهاب )</v>
          </cell>
          <cell r="F294">
            <v>46394.48</v>
          </cell>
          <cell r="G294">
            <v>0</v>
          </cell>
          <cell r="H294">
            <v>0</v>
          </cell>
          <cell r="I294">
            <v>0</v>
          </cell>
          <cell r="J294">
            <v>0</v>
          </cell>
          <cell r="K294">
            <v>0</v>
          </cell>
          <cell r="L294">
            <v>0</v>
          </cell>
          <cell r="M294">
            <v>0</v>
          </cell>
          <cell r="N294">
            <v>0</v>
          </cell>
          <cell r="O294">
            <v>0</v>
          </cell>
          <cell r="P294">
            <v>0</v>
          </cell>
          <cell r="Q294">
            <v>0</v>
          </cell>
        </row>
        <row r="295">
          <cell r="A295">
            <v>117</v>
          </cell>
          <cell r="B295" t="str">
            <v>32 ـ 12</v>
          </cell>
          <cell r="C295" t="str">
            <v>2017/03/05</v>
          </cell>
          <cell r="D295" t="str">
            <v>مـارس</v>
          </cell>
          <cell r="E295" t="str">
            <v>مرتـب شهـر مـارس 2017 ( صنف المستخدمين ضحايا الإرهاب )</v>
          </cell>
          <cell r="F295">
            <v>677470.48</v>
          </cell>
          <cell r="G295">
            <v>0</v>
          </cell>
          <cell r="H295">
            <v>0</v>
          </cell>
          <cell r="I295">
            <v>0</v>
          </cell>
          <cell r="J295">
            <v>0</v>
          </cell>
          <cell r="K295">
            <v>0</v>
          </cell>
          <cell r="L295">
            <v>0</v>
          </cell>
          <cell r="M295">
            <v>0</v>
          </cell>
          <cell r="N295">
            <v>0</v>
          </cell>
          <cell r="O295">
            <v>0</v>
          </cell>
          <cell r="P295">
            <v>0</v>
          </cell>
          <cell r="Q295">
            <v>0</v>
          </cell>
        </row>
        <row r="296">
          <cell r="A296">
            <v>118</v>
          </cell>
          <cell r="B296" t="str">
            <v>32 ـ 12</v>
          </cell>
          <cell r="C296" t="str">
            <v>2017/03/05</v>
          </cell>
          <cell r="D296" t="str">
            <v>مـارس</v>
          </cell>
          <cell r="E296" t="str">
            <v>مرتـب شهـر مـارس 2017 ( صنف المستخدمين ضحايا الإرهاب )</v>
          </cell>
          <cell r="F296">
            <v>131318.49</v>
          </cell>
          <cell r="G296">
            <v>0</v>
          </cell>
          <cell r="H296">
            <v>0</v>
          </cell>
          <cell r="I296">
            <v>0</v>
          </cell>
          <cell r="J296">
            <v>0</v>
          </cell>
          <cell r="K296">
            <v>0</v>
          </cell>
          <cell r="L296">
            <v>0</v>
          </cell>
          <cell r="M296">
            <v>0</v>
          </cell>
          <cell r="N296">
            <v>0</v>
          </cell>
          <cell r="O296">
            <v>0</v>
          </cell>
          <cell r="P296">
            <v>0</v>
          </cell>
          <cell r="Q296">
            <v>0</v>
          </cell>
        </row>
        <row r="297">
          <cell r="A297">
            <v>119</v>
          </cell>
          <cell r="B297" t="str">
            <v>31 ـ 12</v>
          </cell>
          <cell r="C297" t="str">
            <v>2017/03/20</v>
          </cell>
          <cell r="D297" t="str">
            <v>مـارس</v>
          </cell>
          <cell r="E297" t="str">
            <v>علاوة تحسين الآداء للثلاثي الأول 2017 ( صنف المستخدمين مهندسي وتقنيي الأسلاك التقنية )</v>
          </cell>
          <cell r="F297">
            <v>51516</v>
          </cell>
          <cell r="G297">
            <v>0</v>
          </cell>
          <cell r="H297">
            <v>0</v>
          </cell>
          <cell r="I297">
            <v>0</v>
          </cell>
          <cell r="J297">
            <v>0</v>
          </cell>
          <cell r="K297">
            <v>0</v>
          </cell>
          <cell r="L297">
            <v>0</v>
          </cell>
          <cell r="M297">
            <v>0</v>
          </cell>
          <cell r="N297">
            <v>0</v>
          </cell>
          <cell r="O297">
            <v>0</v>
          </cell>
          <cell r="P297">
            <v>0</v>
          </cell>
          <cell r="Q297">
            <v>0</v>
          </cell>
        </row>
        <row r="298">
          <cell r="A298">
            <v>120</v>
          </cell>
          <cell r="B298" t="str">
            <v>31 ـ 12</v>
          </cell>
          <cell r="C298" t="str">
            <v>2017/03/20</v>
          </cell>
          <cell r="D298" t="str">
            <v>مـارس</v>
          </cell>
          <cell r="E298" t="str">
            <v>علاوة تحسين الآداء للثلاثي الأول 2017 ( صنف المستخدمين مهندسي وتقنيي الأسلاك التقنية )</v>
          </cell>
          <cell r="F298">
            <v>1999586.25</v>
          </cell>
          <cell r="G298">
            <v>0</v>
          </cell>
          <cell r="H298">
            <v>0</v>
          </cell>
          <cell r="I298">
            <v>0</v>
          </cell>
          <cell r="J298">
            <v>0</v>
          </cell>
          <cell r="K298">
            <v>0</v>
          </cell>
          <cell r="L298">
            <v>0</v>
          </cell>
          <cell r="M298">
            <v>0</v>
          </cell>
          <cell r="N298">
            <v>0</v>
          </cell>
          <cell r="O298">
            <v>0</v>
          </cell>
          <cell r="P298">
            <v>0</v>
          </cell>
          <cell r="Q298">
            <v>0</v>
          </cell>
        </row>
        <row r="299">
          <cell r="A299">
            <v>121</v>
          </cell>
          <cell r="B299" t="str">
            <v>31 ـ 12</v>
          </cell>
          <cell r="C299" t="str">
            <v>2017/03/20</v>
          </cell>
          <cell r="D299" t="str">
            <v>مـارس</v>
          </cell>
          <cell r="E299" t="str">
            <v>علاوة تحسين الآداء للثلاثي الأول 2017 ( صنف المستخدمين مهندسي الأسلاك المشتركة التقنية )</v>
          </cell>
          <cell r="F299">
            <v>104206.5</v>
          </cell>
          <cell r="G299">
            <v>0</v>
          </cell>
          <cell r="H299">
            <v>0</v>
          </cell>
          <cell r="I299">
            <v>0</v>
          </cell>
          <cell r="J299">
            <v>0</v>
          </cell>
          <cell r="K299">
            <v>0</v>
          </cell>
          <cell r="L299">
            <v>0</v>
          </cell>
          <cell r="M299">
            <v>0</v>
          </cell>
          <cell r="N299">
            <v>0</v>
          </cell>
          <cell r="O299">
            <v>0</v>
          </cell>
          <cell r="P299">
            <v>0</v>
          </cell>
          <cell r="Q299">
            <v>0</v>
          </cell>
        </row>
        <row r="300">
          <cell r="A300">
            <v>122</v>
          </cell>
          <cell r="B300" t="str">
            <v>31 ـ 12</v>
          </cell>
          <cell r="C300" t="str">
            <v>2017/03/20</v>
          </cell>
          <cell r="D300" t="str">
            <v>مـارس</v>
          </cell>
          <cell r="E300" t="str">
            <v>علاوة تحسين الآداء للثلاثي الأول 2017 ( صنف المستخدمين مهندسي الأسلاك المشتركة التقنية )</v>
          </cell>
          <cell r="F300">
            <v>340910.1</v>
          </cell>
          <cell r="G300">
            <v>0</v>
          </cell>
          <cell r="H300">
            <v>0</v>
          </cell>
          <cell r="I300">
            <v>0</v>
          </cell>
          <cell r="J300">
            <v>0</v>
          </cell>
          <cell r="K300">
            <v>0</v>
          </cell>
          <cell r="L300">
            <v>0</v>
          </cell>
          <cell r="M300">
            <v>0</v>
          </cell>
          <cell r="N300">
            <v>0</v>
          </cell>
          <cell r="O300">
            <v>0</v>
          </cell>
          <cell r="P300">
            <v>0</v>
          </cell>
          <cell r="Q300">
            <v>0</v>
          </cell>
        </row>
        <row r="301">
          <cell r="A301">
            <v>123</v>
          </cell>
          <cell r="B301" t="str">
            <v>31 ـ 12</v>
          </cell>
          <cell r="C301" t="str">
            <v>2017/03/20</v>
          </cell>
          <cell r="D301" t="str">
            <v>مـارس</v>
          </cell>
          <cell r="E301" t="str">
            <v>علاوة تحسين الآداء للثلاثي الأول 2017 ( صنف المستخدمين مهندسي الأسلاك المشتركة التقنية )</v>
          </cell>
          <cell r="F301">
            <v>47223</v>
          </cell>
          <cell r="G301">
            <v>0</v>
          </cell>
          <cell r="H301">
            <v>0</v>
          </cell>
          <cell r="I301">
            <v>0</v>
          </cell>
          <cell r="J301">
            <v>0</v>
          </cell>
          <cell r="K301">
            <v>0</v>
          </cell>
          <cell r="L301">
            <v>0</v>
          </cell>
          <cell r="M301">
            <v>0</v>
          </cell>
          <cell r="N301">
            <v>0</v>
          </cell>
          <cell r="O301">
            <v>0</v>
          </cell>
          <cell r="P301">
            <v>0</v>
          </cell>
          <cell r="Q301">
            <v>0</v>
          </cell>
        </row>
        <row r="302">
          <cell r="A302">
            <v>124</v>
          </cell>
          <cell r="B302" t="str">
            <v>31 ـ 12</v>
          </cell>
          <cell r="C302" t="str">
            <v>2017/03/20</v>
          </cell>
          <cell r="D302" t="str">
            <v>مـارس</v>
          </cell>
          <cell r="E302" t="str">
            <v>علاوة تحسين الآداء للثلاثي الأول 2017 ( صنف المستخدمين مهندسي الأسلاك المشتركة التقنية )</v>
          </cell>
          <cell r="F302">
            <v>25758</v>
          </cell>
          <cell r="G302">
            <v>0</v>
          </cell>
          <cell r="H302">
            <v>0</v>
          </cell>
          <cell r="I302">
            <v>0</v>
          </cell>
          <cell r="J302">
            <v>0</v>
          </cell>
          <cell r="K302">
            <v>0</v>
          </cell>
          <cell r="L302">
            <v>0</v>
          </cell>
          <cell r="M302">
            <v>0</v>
          </cell>
          <cell r="N302">
            <v>0</v>
          </cell>
          <cell r="O302">
            <v>0</v>
          </cell>
          <cell r="P302">
            <v>0</v>
          </cell>
          <cell r="Q302">
            <v>0</v>
          </cell>
        </row>
        <row r="303">
          <cell r="A303">
            <v>125</v>
          </cell>
          <cell r="B303" t="str">
            <v>31 ـ 12</v>
          </cell>
          <cell r="C303" t="str">
            <v>2017/03/20</v>
          </cell>
          <cell r="D303" t="str">
            <v>مـارس</v>
          </cell>
          <cell r="E303" t="str">
            <v>علاوة تحسين الآداء للثلاثي الأول 2017 ( صنف المستخدمين مهندسي الأسلاك المشتركة التقنية )</v>
          </cell>
          <cell r="F303">
            <v>51516</v>
          </cell>
          <cell r="G303">
            <v>0</v>
          </cell>
          <cell r="H303">
            <v>0</v>
          </cell>
          <cell r="I303">
            <v>0</v>
          </cell>
          <cell r="J303">
            <v>0</v>
          </cell>
          <cell r="K303">
            <v>0</v>
          </cell>
          <cell r="L303">
            <v>0</v>
          </cell>
          <cell r="M303">
            <v>0</v>
          </cell>
          <cell r="N303">
            <v>0</v>
          </cell>
          <cell r="O303">
            <v>0</v>
          </cell>
          <cell r="P303">
            <v>0</v>
          </cell>
          <cell r="Q303">
            <v>0</v>
          </cell>
        </row>
        <row r="304">
          <cell r="A304">
            <v>126</v>
          </cell>
          <cell r="B304" t="str">
            <v>31 ـ 12</v>
          </cell>
          <cell r="C304" t="str">
            <v>2017/03/20</v>
          </cell>
          <cell r="D304" t="str">
            <v>مـارس</v>
          </cell>
          <cell r="E304" t="str">
            <v>علاوة تحسين الآداء للثلاثي الأول 2017 ( صنف المستخدمين مهندسي الأسلاك المشتركة التقنية )</v>
          </cell>
          <cell r="F304">
            <v>1432691.55</v>
          </cell>
          <cell r="G304">
            <v>0</v>
          </cell>
          <cell r="H304">
            <v>0</v>
          </cell>
          <cell r="I304">
            <v>0</v>
          </cell>
          <cell r="J304">
            <v>0</v>
          </cell>
          <cell r="K304">
            <v>0</v>
          </cell>
          <cell r="L304">
            <v>0</v>
          </cell>
          <cell r="M304">
            <v>0</v>
          </cell>
          <cell r="N304">
            <v>0</v>
          </cell>
          <cell r="O304">
            <v>0</v>
          </cell>
          <cell r="P304">
            <v>0</v>
          </cell>
          <cell r="Q304">
            <v>0</v>
          </cell>
        </row>
        <row r="305">
          <cell r="A305">
            <v>127</v>
          </cell>
          <cell r="B305" t="str">
            <v>33 ـ 13</v>
          </cell>
          <cell r="C305" t="str">
            <v>2017/03/20</v>
          </cell>
          <cell r="D305" t="str">
            <v>مـارس</v>
          </cell>
          <cell r="E305" t="str">
            <v>علاوة تحسين الآداء للثلاثي الأول 2017 ( صنف المستخدمين مهندسي الأسلاك المشتركة التقنية )</v>
          </cell>
          <cell r="F305">
            <v>1013351.86</v>
          </cell>
          <cell r="G305">
            <v>0</v>
          </cell>
          <cell r="H305">
            <v>0</v>
          </cell>
          <cell r="I305">
            <v>0</v>
          </cell>
          <cell r="J305">
            <v>0</v>
          </cell>
          <cell r="K305">
            <v>0</v>
          </cell>
          <cell r="L305">
            <v>0</v>
          </cell>
          <cell r="M305">
            <v>0</v>
          </cell>
          <cell r="N305">
            <v>0</v>
          </cell>
          <cell r="O305">
            <v>0</v>
          </cell>
          <cell r="P305">
            <v>0</v>
          </cell>
          <cell r="Q305">
            <v>0</v>
          </cell>
        </row>
        <row r="306">
          <cell r="A306">
            <v>128</v>
          </cell>
          <cell r="B306" t="str">
            <v>31 ـ 12</v>
          </cell>
          <cell r="C306" t="str">
            <v>2017/03/20</v>
          </cell>
          <cell r="D306" t="str">
            <v>مـارس</v>
          </cell>
          <cell r="E306" t="str">
            <v>علاوة تحسين الآداء للثلاثي الأول 2017 ( صنف المستخدمين موظفين مختلف )</v>
          </cell>
          <cell r="F306">
            <v>74155.5</v>
          </cell>
          <cell r="G306">
            <v>0</v>
          </cell>
          <cell r="H306">
            <v>0</v>
          </cell>
          <cell r="I306">
            <v>0</v>
          </cell>
          <cell r="J306">
            <v>0</v>
          </cell>
          <cell r="K306">
            <v>0</v>
          </cell>
          <cell r="L306">
            <v>0</v>
          </cell>
          <cell r="M306">
            <v>0</v>
          </cell>
          <cell r="N306">
            <v>0</v>
          </cell>
          <cell r="O306">
            <v>0</v>
          </cell>
          <cell r="P306">
            <v>0</v>
          </cell>
          <cell r="Q306">
            <v>0</v>
          </cell>
        </row>
        <row r="307">
          <cell r="A307">
            <v>129</v>
          </cell>
          <cell r="B307" t="str">
            <v>31 ـ 12</v>
          </cell>
          <cell r="C307" t="str">
            <v>2017/03/20</v>
          </cell>
          <cell r="D307" t="str">
            <v>مـارس</v>
          </cell>
          <cell r="E307" t="str">
            <v>علاوة تحسين الآداء للثلاثي الأول 2017 ( صنف المستخدمين موظفين مختلف )</v>
          </cell>
          <cell r="F307">
            <v>908982</v>
          </cell>
          <cell r="G307">
            <v>0</v>
          </cell>
          <cell r="H307">
            <v>0</v>
          </cell>
          <cell r="I307">
            <v>0</v>
          </cell>
          <cell r="J307">
            <v>0</v>
          </cell>
          <cell r="K307">
            <v>0</v>
          </cell>
          <cell r="L307">
            <v>0</v>
          </cell>
          <cell r="M307">
            <v>0</v>
          </cell>
          <cell r="N307">
            <v>0</v>
          </cell>
          <cell r="O307">
            <v>0</v>
          </cell>
          <cell r="P307">
            <v>0</v>
          </cell>
          <cell r="Q307">
            <v>0</v>
          </cell>
        </row>
        <row r="308">
          <cell r="A308">
            <v>130</v>
          </cell>
          <cell r="B308" t="str">
            <v>31 ـ 12</v>
          </cell>
          <cell r="C308" t="str">
            <v>2017/03/20</v>
          </cell>
          <cell r="D308" t="str">
            <v>مـارس</v>
          </cell>
          <cell r="E308" t="str">
            <v>علاوة تحسين الآداء للثلاثي الأول 2017 ( صنف المستخدمين موظفين مختلف )</v>
          </cell>
          <cell r="F308">
            <v>1203624.8999999999</v>
          </cell>
          <cell r="G308">
            <v>0</v>
          </cell>
          <cell r="H308">
            <v>0</v>
          </cell>
          <cell r="I308">
            <v>0</v>
          </cell>
          <cell r="J308">
            <v>0</v>
          </cell>
          <cell r="K308">
            <v>0</v>
          </cell>
          <cell r="L308">
            <v>0</v>
          </cell>
          <cell r="M308">
            <v>0</v>
          </cell>
          <cell r="N308">
            <v>0</v>
          </cell>
          <cell r="O308">
            <v>0</v>
          </cell>
          <cell r="P308">
            <v>0</v>
          </cell>
          <cell r="Q308">
            <v>0</v>
          </cell>
        </row>
        <row r="309">
          <cell r="A309">
            <v>131</v>
          </cell>
          <cell r="B309" t="str">
            <v>31 ـ 12</v>
          </cell>
          <cell r="C309" t="str">
            <v>2017/03/20</v>
          </cell>
          <cell r="D309" t="str">
            <v>مـارس</v>
          </cell>
          <cell r="E309" t="str">
            <v>علاوة تحسين الآداء للثلاثي الأول 2017 ( صنف المستخدمين موظفين مختلف )</v>
          </cell>
          <cell r="F309">
            <v>67432.5</v>
          </cell>
          <cell r="G309">
            <v>0</v>
          </cell>
          <cell r="H309">
            <v>0</v>
          </cell>
          <cell r="I309">
            <v>0</v>
          </cell>
          <cell r="J309">
            <v>0</v>
          </cell>
          <cell r="K309">
            <v>0</v>
          </cell>
          <cell r="L309">
            <v>0</v>
          </cell>
          <cell r="M309">
            <v>0</v>
          </cell>
          <cell r="N309">
            <v>0</v>
          </cell>
          <cell r="O309">
            <v>0</v>
          </cell>
          <cell r="P309">
            <v>0</v>
          </cell>
          <cell r="Q309">
            <v>0</v>
          </cell>
        </row>
        <row r="310">
          <cell r="A310">
            <v>132</v>
          </cell>
          <cell r="B310" t="str">
            <v>31 ـ 12</v>
          </cell>
          <cell r="C310" t="str">
            <v>2017/03/20</v>
          </cell>
          <cell r="D310" t="str">
            <v>مـارس</v>
          </cell>
          <cell r="E310" t="str">
            <v>علاوة تحسين الآداء للثلاثي الأول 2017 ( صنف المستخدمين موظفين مختلف )</v>
          </cell>
          <cell r="F310">
            <v>3395116.35</v>
          </cell>
          <cell r="G310">
            <v>0</v>
          </cell>
          <cell r="H310">
            <v>0</v>
          </cell>
          <cell r="I310">
            <v>0</v>
          </cell>
          <cell r="J310">
            <v>0</v>
          </cell>
          <cell r="K310">
            <v>0</v>
          </cell>
          <cell r="L310">
            <v>0</v>
          </cell>
          <cell r="M310">
            <v>0</v>
          </cell>
          <cell r="N310">
            <v>0</v>
          </cell>
          <cell r="O310">
            <v>0</v>
          </cell>
          <cell r="P310">
            <v>0</v>
          </cell>
          <cell r="Q310">
            <v>0</v>
          </cell>
        </row>
        <row r="311">
          <cell r="A311">
            <v>133</v>
          </cell>
          <cell r="B311" t="str">
            <v>31 ـ 12</v>
          </cell>
          <cell r="C311" t="str">
            <v>2017/03/20</v>
          </cell>
          <cell r="D311" t="str">
            <v>مـارس</v>
          </cell>
          <cell r="E311" t="str">
            <v>علاوة تحسين الآداء للثلاثي الأول 2017 ( صنف المستخدمين موظفين مختلف )</v>
          </cell>
          <cell r="F311">
            <v>193743.9</v>
          </cell>
          <cell r="G311">
            <v>0</v>
          </cell>
          <cell r="H311">
            <v>0</v>
          </cell>
          <cell r="I311">
            <v>0</v>
          </cell>
          <cell r="J311">
            <v>0</v>
          </cell>
          <cell r="K311">
            <v>0</v>
          </cell>
          <cell r="L311">
            <v>0</v>
          </cell>
          <cell r="M311">
            <v>0</v>
          </cell>
          <cell r="N311">
            <v>0</v>
          </cell>
          <cell r="O311">
            <v>0</v>
          </cell>
          <cell r="P311">
            <v>0</v>
          </cell>
          <cell r="Q311">
            <v>0</v>
          </cell>
        </row>
        <row r="312">
          <cell r="A312">
            <v>134</v>
          </cell>
          <cell r="B312" t="str">
            <v>31 ـ 12</v>
          </cell>
          <cell r="C312" t="str">
            <v>2017/03/20</v>
          </cell>
          <cell r="D312" t="str">
            <v>مـارس</v>
          </cell>
          <cell r="E312" t="str">
            <v>علاوة تحسين الآداء للثلاثي الأول 2017 ( صنف المستخدمين موظفين مختلف )</v>
          </cell>
          <cell r="F312">
            <v>439263</v>
          </cell>
          <cell r="G312">
            <v>0</v>
          </cell>
          <cell r="H312">
            <v>0</v>
          </cell>
          <cell r="I312">
            <v>0</v>
          </cell>
          <cell r="J312">
            <v>0</v>
          </cell>
          <cell r="K312">
            <v>0</v>
          </cell>
          <cell r="L312">
            <v>0</v>
          </cell>
          <cell r="M312">
            <v>0</v>
          </cell>
          <cell r="N312">
            <v>0</v>
          </cell>
          <cell r="O312">
            <v>0</v>
          </cell>
          <cell r="P312">
            <v>0</v>
          </cell>
          <cell r="Q312">
            <v>0</v>
          </cell>
        </row>
        <row r="313">
          <cell r="A313">
            <v>135</v>
          </cell>
          <cell r="B313" t="str">
            <v>31 ـ 12</v>
          </cell>
          <cell r="C313" t="str">
            <v>2017/03/20</v>
          </cell>
          <cell r="D313" t="str">
            <v>مـارس</v>
          </cell>
          <cell r="E313" t="str">
            <v>علاوة تحسين الآداء للثلاثي الأول 2017 ( صنف المستخدمين موظفين مختلف )</v>
          </cell>
          <cell r="F313">
            <v>19035</v>
          </cell>
          <cell r="G313">
            <v>0</v>
          </cell>
          <cell r="H313">
            <v>0</v>
          </cell>
          <cell r="I313">
            <v>0</v>
          </cell>
          <cell r="J313">
            <v>0</v>
          </cell>
          <cell r="K313">
            <v>0</v>
          </cell>
          <cell r="L313">
            <v>0</v>
          </cell>
          <cell r="M313">
            <v>0</v>
          </cell>
          <cell r="N313">
            <v>0</v>
          </cell>
          <cell r="O313">
            <v>0</v>
          </cell>
          <cell r="P313">
            <v>0</v>
          </cell>
          <cell r="Q313">
            <v>0</v>
          </cell>
        </row>
        <row r="314">
          <cell r="A314">
            <v>136</v>
          </cell>
          <cell r="B314" t="str">
            <v>31 ـ 12</v>
          </cell>
          <cell r="C314" t="str">
            <v>2017/03/20</v>
          </cell>
          <cell r="D314" t="str">
            <v>مـارس</v>
          </cell>
          <cell r="E314" t="str">
            <v>علاوة تحسين الآداء للثلاثي الأول 2017 ( صنف المستخدمين موظفين مختلف )</v>
          </cell>
          <cell r="F314">
            <v>174656.25</v>
          </cell>
          <cell r="G314">
            <v>0</v>
          </cell>
          <cell r="H314">
            <v>0</v>
          </cell>
          <cell r="I314">
            <v>0</v>
          </cell>
          <cell r="J314">
            <v>0</v>
          </cell>
          <cell r="K314">
            <v>0</v>
          </cell>
          <cell r="L314">
            <v>0</v>
          </cell>
          <cell r="M314">
            <v>0</v>
          </cell>
          <cell r="N314">
            <v>0</v>
          </cell>
          <cell r="O314">
            <v>0</v>
          </cell>
          <cell r="P314">
            <v>0</v>
          </cell>
          <cell r="Q314">
            <v>0</v>
          </cell>
        </row>
        <row r="315">
          <cell r="A315">
            <v>137</v>
          </cell>
          <cell r="B315" t="str">
            <v>31 ـ 12</v>
          </cell>
          <cell r="C315" t="str">
            <v>2017/03/20</v>
          </cell>
          <cell r="D315" t="str">
            <v>مـارس</v>
          </cell>
          <cell r="E315" t="str">
            <v>علاوة تحسين الآداء للثلاثي الأول 2017 ( صنف المستخدمين موظفين مختلف )</v>
          </cell>
          <cell r="F315">
            <v>25150.5</v>
          </cell>
          <cell r="G315">
            <v>0</v>
          </cell>
          <cell r="H315">
            <v>0</v>
          </cell>
          <cell r="I315">
            <v>0</v>
          </cell>
          <cell r="J315">
            <v>0</v>
          </cell>
          <cell r="K315">
            <v>0</v>
          </cell>
          <cell r="L315">
            <v>0</v>
          </cell>
          <cell r="M315">
            <v>0</v>
          </cell>
          <cell r="N315">
            <v>0</v>
          </cell>
          <cell r="O315">
            <v>0</v>
          </cell>
          <cell r="P315">
            <v>0</v>
          </cell>
          <cell r="Q315">
            <v>0</v>
          </cell>
        </row>
        <row r="316">
          <cell r="A316">
            <v>138</v>
          </cell>
          <cell r="B316" t="str">
            <v>33 ـ 13</v>
          </cell>
          <cell r="C316" t="str">
            <v>2017/03/20</v>
          </cell>
          <cell r="D316" t="str">
            <v>مـارس</v>
          </cell>
          <cell r="E316" t="str">
            <v>علاوة تحسين الآداء للثلاثي الأول 2017 ( صنف المستخدمين موظفين مختلف )</v>
          </cell>
          <cell r="F316">
            <v>1625290</v>
          </cell>
          <cell r="G316">
            <v>0</v>
          </cell>
          <cell r="H316">
            <v>0</v>
          </cell>
          <cell r="I316">
            <v>0</v>
          </cell>
          <cell r="J316">
            <v>0</v>
          </cell>
          <cell r="K316">
            <v>0</v>
          </cell>
          <cell r="L316">
            <v>0</v>
          </cell>
          <cell r="M316">
            <v>0</v>
          </cell>
          <cell r="N316">
            <v>0</v>
          </cell>
          <cell r="O316">
            <v>0</v>
          </cell>
          <cell r="P316">
            <v>0</v>
          </cell>
          <cell r="Q316">
            <v>0</v>
          </cell>
        </row>
        <row r="317">
          <cell r="A317">
            <v>139</v>
          </cell>
          <cell r="B317" t="str">
            <v>31 ـ 11</v>
          </cell>
          <cell r="C317" t="str">
            <v>2017/04/02</v>
          </cell>
          <cell r="D317" t="str">
            <v>أفـريل</v>
          </cell>
          <cell r="E317" t="str">
            <v>مرتـب شهـر أفـريل 2017 ( صنف المستخدمين مهندسي وتقنيي الأسلاك التقنية )</v>
          </cell>
          <cell r="F317">
            <v>57240</v>
          </cell>
          <cell r="G317">
            <v>0</v>
          </cell>
          <cell r="H317">
            <v>0</v>
          </cell>
          <cell r="I317">
            <v>0</v>
          </cell>
          <cell r="J317">
            <v>0</v>
          </cell>
          <cell r="K317">
            <v>0</v>
          </cell>
          <cell r="L317">
            <v>0</v>
          </cell>
          <cell r="M317">
            <v>0</v>
          </cell>
          <cell r="N317">
            <v>0</v>
          </cell>
          <cell r="O317">
            <v>0</v>
          </cell>
          <cell r="P317">
            <v>0</v>
          </cell>
          <cell r="Q317">
            <v>0</v>
          </cell>
        </row>
        <row r="318">
          <cell r="A318">
            <v>139</v>
          </cell>
          <cell r="B318" t="str">
            <v>31 ـ 12</v>
          </cell>
          <cell r="C318" t="str">
            <v>2017/04/02</v>
          </cell>
          <cell r="D318" t="str">
            <v>أفـريل</v>
          </cell>
          <cell r="E318" t="str">
            <v>مرتـب شهـر أفـريل 2017 ( صنف المستخدمين مهندسي وتقنيي الأسلاك التقنية )</v>
          </cell>
          <cell r="F318">
            <v>37344</v>
          </cell>
          <cell r="G318">
            <v>0</v>
          </cell>
          <cell r="H318">
            <v>0</v>
          </cell>
          <cell r="I318">
            <v>0</v>
          </cell>
          <cell r="J318">
            <v>0</v>
          </cell>
          <cell r="K318">
            <v>0</v>
          </cell>
          <cell r="L318">
            <v>0</v>
          </cell>
          <cell r="M318">
            <v>0</v>
          </cell>
          <cell r="N318">
            <v>0</v>
          </cell>
          <cell r="O318">
            <v>0</v>
          </cell>
          <cell r="P318">
            <v>0</v>
          </cell>
          <cell r="Q318">
            <v>0</v>
          </cell>
        </row>
        <row r="319">
          <cell r="A319">
            <v>139</v>
          </cell>
          <cell r="B319" t="str">
            <v>33 ـ 11</v>
          </cell>
          <cell r="C319" t="str">
            <v>2017/04/02</v>
          </cell>
          <cell r="D319" t="str">
            <v>أفـريل</v>
          </cell>
          <cell r="E319" t="str">
            <v>مرتـب شهـر أفـريل 2017 ( صنف المستخدمين مهندسي وتقنيي الأسلاك التقنية )</v>
          </cell>
          <cell r="F319">
            <v>1500</v>
          </cell>
          <cell r="G319">
            <v>96084</v>
          </cell>
          <cell r="H319">
            <v>0</v>
          </cell>
          <cell r="I319">
            <v>0</v>
          </cell>
          <cell r="J319">
            <v>0</v>
          </cell>
          <cell r="K319">
            <v>0</v>
          </cell>
          <cell r="L319">
            <v>0</v>
          </cell>
          <cell r="M319">
            <v>0</v>
          </cell>
          <cell r="N319">
            <v>0</v>
          </cell>
          <cell r="O319">
            <v>0</v>
          </cell>
          <cell r="P319">
            <v>0</v>
          </cell>
          <cell r="Q319">
            <v>0</v>
          </cell>
        </row>
        <row r="320">
          <cell r="A320">
            <v>140</v>
          </cell>
          <cell r="B320" t="str">
            <v>31 ـ 11</v>
          </cell>
          <cell r="C320" t="str">
            <v>2017/04/02</v>
          </cell>
          <cell r="D320" t="str">
            <v>أفـريل</v>
          </cell>
          <cell r="E320" t="str">
            <v>مرتـب شهـر أفـريل 2017 ( صنف المستخدمين مهندسي وتقنيي الأسلاك التقنية )</v>
          </cell>
          <cell r="F320">
            <v>2285820</v>
          </cell>
          <cell r="G320">
            <v>0</v>
          </cell>
          <cell r="H320">
            <v>0</v>
          </cell>
          <cell r="I320">
            <v>0</v>
          </cell>
          <cell r="J320">
            <v>0</v>
          </cell>
          <cell r="K320">
            <v>0</v>
          </cell>
          <cell r="L320">
            <v>0</v>
          </cell>
          <cell r="M320">
            <v>0</v>
          </cell>
          <cell r="N320">
            <v>0</v>
          </cell>
          <cell r="O320">
            <v>0</v>
          </cell>
          <cell r="P320">
            <v>0</v>
          </cell>
          <cell r="Q320">
            <v>0</v>
          </cell>
        </row>
        <row r="321">
          <cell r="A321">
            <v>140</v>
          </cell>
          <cell r="B321" t="str">
            <v>31 ـ 12</v>
          </cell>
          <cell r="C321" t="str">
            <v>2017/04/02</v>
          </cell>
          <cell r="D321" t="str">
            <v>أفـريل</v>
          </cell>
          <cell r="E321" t="str">
            <v>مرتـب شهـر أفـريل 2017 ( صنف المستخدمين مهندسي وتقنيي الأسلاك التقنية )</v>
          </cell>
          <cell r="F321">
            <v>1518461.12</v>
          </cell>
          <cell r="G321">
            <v>0</v>
          </cell>
          <cell r="H321">
            <v>0</v>
          </cell>
          <cell r="I321">
            <v>0</v>
          </cell>
          <cell r="J321">
            <v>0</v>
          </cell>
          <cell r="K321">
            <v>0</v>
          </cell>
          <cell r="L321">
            <v>0</v>
          </cell>
          <cell r="M321">
            <v>0</v>
          </cell>
          <cell r="N321">
            <v>0</v>
          </cell>
          <cell r="O321">
            <v>0</v>
          </cell>
          <cell r="P321">
            <v>0</v>
          </cell>
          <cell r="Q321">
            <v>0</v>
          </cell>
        </row>
        <row r="322">
          <cell r="A322">
            <v>140</v>
          </cell>
          <cell r="B322" t="str">
            <v>33 ـ 11</v>
          </cell>
          <cell r="C322" t="str">
            <v>2017/04/02</v>
          </cell>
          <cell r="D322" t="str">
            <v>أفـريل</v>
          </cell>
          <cell r="E322" t="str">
            <v>مرتـب شهـر أفـريل 2017 ( صنف المستخدمين مهندسي وتقنيي الأسلاك التقنية )</v>
          </cell>
          <cell r="F322">
            <v>61623.75</v>
          </cell>
          <cell r="G322">
            <v>3865904.87</v>
          </cell>
          <cell r="H322">
            <v>0</v>
          </cell>
          <cell r="I322">
            <v>0</v>
          </cell>
          <cell r="J322">
            <v>0</v>
          </cell>
          <cell r="K322">
            <v>0</v>
          </cell>
          <cell r="L322">
            <v>0</v>
          </cell>
          <cell r="M322">
            <v>0</v>
          </cell>
          <cell r="N322">
            <v>0</v>
          </cell>
          <cell r="O322">
            <v>0</v>
          </cell>
          <cell r="P322">
            <v>0</v>
          </cell>
          <cell r="Q322">
            <v>0</v>
          </cell>
        </row>
        <row r="323">
          <cell r="A323">
            <v>141</v>
          </cell>
          <cell r="B323" t="str">
            <v>31 ـ 11</v>
          </cell>
          <cell r="C323" t="str">
            <v>2017/04/02</v>
          </cell>
          <cell r="D323" t="str">
            <v>أفـريل</v>
          </cell>
          <cell r="E323" t="str">
            <v>مرتـب شهـر أفـريل 2017 ( صنف المستخدمين مهندسي الأسلاك المشتركة التقنية )</v>
          </cell>
          <cell r="F323">
            <v>173025</v>
          </cell>
          <cell r="G323">
            <v>0</v>
          </cell>
          <cell r="H323">
            <v>0</v>
          </cell>
          <cell r="I323">
            <v>0</v>
          </cell>
          <cell r="J323">
            <v>0</v>
          </cell>
          <cell r="K323">
            <v>0</v>
          </cell>
          <cell r="L323">
            <v>0</v>
          </cell>
          <cell r="M323">
            <v>0</v>
          </cell>
          <cell r="N323">
            <v>0</v>
          </cell>
          <cell r="O323">
            <v>0</v>
          </cell>
          <cell r="P323">
            <v>0</v>
          </cell>
          <cell r="Q323">
            <v>0</v>
          </cell>
        </row>
        <row r="324">
          <cell r="A324">
            <v>141</v>
          </cell>
          <cell r="B324" t="str">
            <v>31 ـ 12</v>
          </cell>
          <cell r="C324" t="str">
            <v>2017/04/02</v>
          </cell>
          <cell r="D324" t="str">
            <v>أفـريل</v>
          </cell>
          <cell r="E324" t="str">
            <v>مرتـب شهـر أفـريل 2017 ( صنف المستخدمين مهندسي الأسلاك المشتركة التقنية )</v>
          </cell>
          <cell r="F324">
            <v>108440.6</v>
          </cell>
          <cell r="G324">
            <v>0</v>
          </cell>
          <cell r="H324">
            <v>0</v>
          </cell>
          <cell r="I324">
            <v>0</v>
          </cell>
          <cell r="J324">
            <v>0</v>
          </cell>
          <cell r="K324">
            <v>0</v>
          </cell>
          <cell r="L324">
            <v>0</v>
          </cell>
          <cell r="M324">
            <v>0</v>
          </cell>
          <cell r="N324">
            <v>0</v>
          </cell>
          <cell r="O324">
            <v>0</v>
          </cell>
          <cell r="P324">
            <v>0</v>
          </cell>
          <cell r="Q324">
            <v>0</v>
          </cell>
        </row>
        <row r="325">
          <cell r="A325">
            <v>141</v>
          </cell>
          <cell r="B325" t="str">
            <v>33 ـ 11</v>
          </cell>
          <cell r="C325" t="str">
            <v>2017/04/02</v>
          </cell>
          <cell r="D325" t="str">
            <v>أفـريل</v>
          </cell>
          <cell r="E325" t="str">
            <v>مرتـب شهـر أفـريل 2017 ( صنف المستخدمين مهندسي الأسلاك المشتركة التقنية )</v>
          </cell>
          <cell r="F325">
            <v>5100</v>
          </cell>
          <cell r="G325">
            <v>286565.59999999998</v>
          </cell>
          <cell r="H325">
            <v>0</v>
          </cell>
          <cell r="I325">
            <v>0</v>
          </cell>
          <cell r="J325">
            <v>0</v>
          </cell>
          <cell r="K325">
            <v>0</v>
          </cell>
          <cell r="L325">
            <v>0</v>
          </cell>
          <cell r="M325">
            <v>0</v>
          </cell>
          <cell r="N325">
            <v>0</v>
          </cell>
          <cell r="O325">
            <v>0</v>
          </cell>
          <cell r="P325">
            <v>0</v>
          </cell>
          <cell r="Q325">
            <v>0</v>
          </cell>
        </row>
        <row r="326">
          <cell r="A326">
            <v>142</v>
          </cell>
          <cell r="B326" t="str">
            <v>31 ـ 11</v>
          </cell>
          <cell r="C326" t="str">
            <v>2017/04/02</v>
          </cell>
          <cell r="D326" t="str">
            <v>أفـريل</v>
          </cell>
          <cell r="E326" t="str">
            <v>مرتـب شهـر أفـريل 2017 ( صنف المستخدمين مهندسي الأسلاك المشتركة التقنية )</v>
          </cell>
          <cell r="F326">
            <v>482625</v>
          </cell>
          <cell r="G326">
            <v>0</v>
          </cell>
          <cell r="H326">
            <v>0</v>
          </cell>
          <cell r="I326">
            <v>0</v>
          </cell>
          <cell r="J326">
            <v>0</v>
          </cell>
          <cell r="K326">
            <v>0</v>
          </cell>
          <cell r="L326">
            <v>0</v>
          </cell>
          <cell r="M326">
            <v>0</v>
          </cell>
          <cell r="N326">
            <v>0</v>
          </cell>
          <cell r="O326">
            <v>0</v>
          </cell>
          <cell r="P326">
            <v>0</v>
          </cell>
          <cell r="Q326">
            <v>0</v>
          </cell>
        </row>
        <row r="327">
          <cell r="A327">
            <v>142</v>
          </cell>
          <cell r="B327" t="str">
            <v>31 ـ 12</v>
          </cell>
          <cell r="C327" t="str">
            <v>2017/04/02</v>
          </cell>
          <cell r="D327" t="str">
            <v>أفـريل</v>
          </cell>
          <cell r="E327" t="str">
            <v>مرتـب شهـر أفـريل 2017 ( صنف المستخدمين مهندسي الأسلاك المشتركة التقنية )</v>
          </cell>
          <cell r="F327">
            <v>304002.65999999997</v>
          </cell>
          <cell r="G327">
            <v>0</v>
          </cell>
          <cell r="H327">
            <v>0</v>
          </cell>
          <cell r="I327">
            <v>0</v>
          </cell>
          <cell r="J327">
            <v>0</v>
          </cell>
          <cell r="K327">
            <v>0</v>
          </cell>
          <cell r="L327">
            <v>0</v>
          </cell>
          <cell r="M327">
            <v>0</v>
          </cell>
          <cell r="N327">
            <v>0</v>
          </cell>
          <cell r="O327">
            <v>0</v>
          </cell>
          <cell r="P327">
            <v>0</v>
          </cell>
          <cell r="Q327">
            <v>0</v>
          </cell>
        </row>
        <row r="328">
          <cell r="A328">
            <v>142</v>
          </cell>
          <cell r="B328" t="str">
            <v>33 ـ 11</v>
          </cell>
          <cell r="C328" t="str">
            <v>2017/04/02</v>
          </cell>
          <cell r="D328" t="str">
            <v>أفـريل</v>
          </cell>
          <cell r="E328" t="str">
            <v>مرتـب شهـر أفـريل 2017 ( صنف المستخدمين مهندسي الأسلاك المشتركة التقنية )</v>
          </cell>
          <cell r="F328">
            <v>17011.25</v>
          </cell>
          <cell r="G328">
            <v>803638.90999999992</v>
          </cell>
          <cell r="H328">
            <v>0</v>
          </cell>
          <cell r="I328">
            <v>0</v>
          </cell>
          <cell r="J328">
            <v>0</v>
          </cell>
          <cell r="K328">
            <v>0</v>
          </cell>
          <cell r="L328">
            <v>0</v>
          </cell>
          <cell r="M328">
            <v>0</v>
          </cell>
          <cell r="N328">
            <v>0</v>
          </cell>
          <cell r="O328">
            <v>0</v>
          </cell>
          <cell r="P328">
            <v>0</v>
          </cell>
          <cell r="Q328">
            <v>0</v>
          </cell>
        </row>
        <row r="329">
          <cell r="A329">
            <v>143</v>
          </cell>
          <cell r="B329" t="str">
            <v>31 ـ 11</v>
          </cell>
          <cell r="C329" t="str">
            <v>2017/04/02</v>
          </cell>
          <cell r="D329" t="str">
            <v>أفـريل</v>
          </cell>
          <cell r="E329" t="str">
            <v>مرتـب شهـر أفـريل 2017 ( صنف المستخدمين مهندسي وتقنيي الأسلاك المشتركة )</v>
          </cell>
          <cell r="F329">
            <v>63765</v>
          </cell>
          <cell r="G329">
            <v>0</v>
          </cell>
          <cell r="H329">
            <v>0</v>
          </cell>
          <cell r="I329">
            <v>0</v>
          </cell>
          <cell r="J329">
            <v>0</v>
          </cell>
          <cell r="K329">
            <v>0</v>
          </cell>
          <cell r="L329">
            <v>0</v>
          </cell>
          <cell r="M329">
            <v>0</v>
          </cell>
          <cell r="N329">
            <v>0</v>
          </cell>
          <cell r="O329">
            <v>0</v>
          </cell>
          <cell r="P329">
            <v>0</v>
          </cell>
          <cell r="Q329">
            <v>0</v>
          </cell>
        </row>
        <row r="330">
          <cell r="A330">
            <v>143</v>
          </cell>
          <cell r="B330" t="str">
            <v>31 ـ 12</v>
          </cell>
          <cell r="C330" t="str">
            <v>2017/04/02</v>
          </cell>
          <cell r="D330" t="str">
            <v>أفـريل</v>
          </cell>
          <cell r="E330" t="str">
            <v>مرتـب شهـر أفـريل 2017 ( صنف المستخدمين مهندسي وتقنيي الأسلاك المشتركة )</v>
          </cell>
          <cell r="F330">
            <v>31620</v>
          </cell>
          <cell r="G330">
            <v>0</v>
          </cell>
          <cell r="H330">
            <v>0</v>
          </cell>
          <cell r="I330">
            <v>0</v>
          </cell>
          <cell r="J330">
            <v>0</v>
          </cell>
          <cell r="K330">
            <v>0</v>
          </cell>
          <cell r="L330">
            <v>0</v>
          </cell>
          <cell r="M330">
            <v>0</v>
          </cell>
          <cell r="N330">
            <v>0</v>
          </cell>
          <cell r="O330">
            <v>0</v>
          </cell>
          <cell r="P330">
            <v>0</v>
          </cell>
          <cell r="Q330">
            <v>0</v>
          </cell>
        </row>
        <row r="331">
          <cell r="A331">
            <v>143</v>
          </cell>
          <cell r="B331" t="str">
            <v>33 ـ 11</v>
          </cell>
          <cell r="C331" t="str">
            <v>2017/04/02</v>
          </cell>
          <cell r="D331" t="str">
            <v>أفـريل</v>
          </cell>
          <cell r="E331" t="str">
            <v>مرتـب شهـر أفـريل 2017 ( صنف المستخدمين مهندسي وتقنيي الأسلاك المشتركة )</v>
          </cell>
          <cell r="F331">
            <v>2000</v>
          </cell>
          <cell r="G331">
            <v>97385</v>
          </cell>
          <cell r="H331">
            <v>0</v>
          </cell>
          <cell r="I331">
            <v>0</v>
          </cell>
          <cell r="J331">
            <v>0</v>
          </cell>
          <cell r="K331">
            <v>0</v>
          </cell>
          <cell r="L331">
            <v>0</v>
          </cell>
          <cell r="M331">
            <v>0</v>
          </cell>
          <cell r="N331">
            <v>0</v>
          </cell>
          <cell r="O331">
            <v>0</v>
          </cell>
          <cell r="P331">
            <v>0</v>
          </cell>
          <cell r="Q331">
            <v>0</v>
          </cell>
        </row>
        <row r="332">
          <cell r="A332">
            <v>144</v>
          </cell>
          <cell r="B332" t="str">
            <v>31 ـ 11</v>
          </cell>
          <cell r="C332" t="str">
            <v>2017/04/02</v>
          </cell>
          <cell r="D332" t="str">
            <v>أفـريل</v>
          </cell>
          <cell r="E332" t="str">
            <v>مرتـب شهـر أفـريل 2017 ( صنف المستخدمين مهندسي وتقنيي الأسلاك المشتركة )</v>
          </cell>
          <cell r="F332">
            <v>1659825</v>
          </cell>
          <cell r="G332">
            <v>0</v>
          </cell>
          <cell r="H332">
            <v>0</v>
          </cell>
          <cell r="I332">
            <v>0</v>
          </cell>
          <cell r="J332">
            <v>0</v>
          </cell>
          <cell r="K332">
            <v>0</v>
          </cell>
          <cell r="L332">
            <v>0</v>
          </cell>
          <cell r="M332">
            <v>0</v>
          </cell>
          <cell r="N332">
            <v>0</v>
          </cell>
          <cell r="O332">
            <v>0</v>
          </cell>
          <cell r="P332">
            <v>0</v>
          </cell>
          <cell r="Q332">
            <v>0</v>
          </cell>
        </row>
        <row r="333">
          <cell r="A333">
            <v>144</v>
          </cell>
          <cell r="B333" t="str">
            <v>31 ـ 12</v>
          </cell>
          <cell r="C333" t="str">
            <v>2017/04/02</v>
          </cell>
          <cell r="D333" t="str">
            <v>أفـريل</v>
          </cell>
          <cell r="E333" t="str">
            <v>مرتـب شهـر أفـريل 2017 ( صنف المستخدمين مهندسي وتقنيي الأسلاك المشتركة )</v>
          </cell>
          <cell r="F333">
            <v>941377.75</v>
          </cell>
          <cell r="G333">
            <v>0</v>
          </cell>
          <cell r="H333">
            <v>0</v>
          </cell>
          <cell r="I333">
            <v>0</v>
          </cell>
          <cell r="J333">
            <v>0</v>
          </cell>
          <cell r="K333">
            <v>0</v>
          </cell>
          <cell r="L333">
            <v>0</v>
          </cell>
          <cell r="M333">
            <v>0</v>
          </cell>
          <cell r="N333">
            <v>0</v>
          </cell>
          <cell r="O333">
            <v>0</v>
          </cell>
          <cell r="P333">
            <v>0</v>
          </cell>
          <cell r="Q333">
            <v>0</v>
          </cell>
        </row>
        <row r="334">
          <cell r="A334">
            <v>144</v>
          </cell>
          <cell r="B334" t="str">
            <v>33 ـ 11</v>
          </cell>
          <cell r="C334" t="str">
            <v>2017/04/02</v>
          </cell>
          <cell r="D334" t="str">
            <v>أفـريل</v>
          </cell>
          <cell r="E334" t="str">
            <v>مرتـب شهـر أفـريل 2017 ( صنف المستخدمين مهندسي وتقنيي الأسلاك المشتركة )</v>
          </cell>
          <cell r="F334">
            <v>25800</v>
          </cell>
          <cell r="G334">
            <v>2627002.75</v>
          </cell>
          <cell r="H334">
            <v>0</v>
          </cell>
          <cell r="I334">
            <v>0</v>
          </cell>
          <cell r="J334">
            <v>0</v>
          </cell>
          <cell r="K334">
            <v>0</v>
          </cell>
          <cell r="L334">
            <v>0</v>
          </cell>
          <cell r="M334">
            <v>0</v>
          </cell>
          <cell r="N334">
            <v>0</v>
          </cell>
          <cell r="O334">
            <v>0</v>
          </cell>
          <cell r="P334">
            <v>0</v>
          </cell>
          <cell r="Q334">
            <v>0</v>
          </cell>
        </row>
        <row r="335">
          <cell r="A335">
            <v>145</v>
          </cell>
          <cell r="B335" t="str">
            <v>33 ـ 13</v>
          </cell>
          <cell r="C335" t="str">
            <v>2017/04/02</v>
          </cell>
          <cell r="D335" t="str">
            <v>أفـريل</v>
          </cell>
          <cell r="E335">
            <v>0</v>
          </cell>
          <cell r="F335">
            <v>1915886.54</v>
          </cell>
          <cell r="G335">
            <v>0</v>
          </cell>
          <cell r="H335">
            <v>0</v>
          </cell>
          <cell r="I335">
            <v>0</v>
          </cell>
          <cell r="J335">
            <v>0</v>
          </cell>
          <cell r="K335">
            <v>0</v>
          </cell>
          <cell r="L335">
            <v>0</v>
          </cell>
          <cell r="M335">
            <v>0</v>
          </cell>
          <cell r="N335">
            <v>0</v>
          </cell>
          <cell r="O335">
            <v>0</v>
          </cell>
          <cell r="P335">
            <v>0</v>
          </cell>
          <cell r="Q335">
            <v>0</v>
          </cell>
        </row>
        <row r="336">
          <cell r="A336">
            <v>146</v>
          </cell>
          <cell r="B336" t="str">
            <v>31 ـ 11</v>
          </cell>
          <cell r="C336" t="str">
            <v>2017/04/02</v>
          </cell>
          <cell r="D336" t="str">
            <v>أفـريل</v>
          </cell>
          <cell r="E336" t="str">
            <v>مرتـب شهـر أفـريل 2017 ( صنف المستخدمين موظفين مختلف )</v>
          </cell>
          <cell r="F336">
            <v>176810.16</v>
          </cell>
          <cell r="G336">
            <v>0</v>
          </cell>
          <cell r="H336">
            <v>0</v>
          </cell>
          <cell r="I336">
            <v>0</v>
          </cell>
          <cell r="J336">
            <v>0</v>
          </cell>
          <cell r="K336">
            <v>0</v>
          </cell>
          <cell r="L336">
            <v>0</v>
          </cell>
          <cell r="M336">
            <v>0</v>
          </cell>
          <cell r="N336">
            <v>0</v>
          </cell>
          <cell r="O336">
            <v>0</v>
          </cell>
          <cell r="P336">
            <v>0</v>
          </cell>
          <cell r="Q336">
            <v>0</v>
          </cell>
        </row>
        <row r="337">
          <cell r="A337">
            <v>146</v>
          </cell>
          <cell r="B337" t="str">
            <v>31 ـ 12</v>
          </cell>
          <cell r="C337" t="str">
            <v>2017/04/02</v>
          </cell>
          <cell r="D337" t="str">
            <v>أفـريل</v>
          </cell>
          <cell r="E337" t="str">
            <v>مرتـب شهـر أفـريل 2017 ( صنف المستخدمين موظفين مختلف )</v>
          </cell>
          <cell r="F337">
            <v>175471.57</v>
          </cell>
          <cell r="G337">
            <v>0</v>
          </cell>
          <cell r="H337">
            <v>0</v>
          </cell>
          <cell r="I337">
            <v>0</v>
          </cell>
          <cell r="J337">
            <v>0</v>
          </cell>
          <cell r="K337">
            <v>0</v>
          </cell>
          <cell r="L337">
            <v>0</v>
          </cell>
          <cell r="M337">
            <v>0</v>
          </cell>
          <cell r="N337">
            <v>0</v>
          </cell>
          <cell r="O337">
            <v>0</v>
          </cell>
          <cell r="P337">
            <v>0</v>
          </cell>
          <cell r="Q337">
            <v>0</v>
          </cell>
        </row>
        <row r="338">
          <cell r="A338">
            <v>146</v>
          </cell>
          <cell r="B338" t="str">
            <v>33 ـ 11</v>
          </cell>
          <cell r="C338" t="str">
            <v>2017/04/02</v>
          </cell>
          <cell r="D338" t="str">
            <v>أفـريل</v>
          </cell>
          <cell r="E338" t="str">
            <v>مرتـب شهـر أفـريل 2017 ( صنف المستخدمين موظفين مختلف )</v>
          </cell>
          <cell r="F338">
            <v>3767.5</v>
          </cell>
          <cell r="G338">
            <v>356049.23</v>
          </cell>
          <cell r="H338">
            <v>0</v>
          </cell>
          <cell r="I338">
            <v>0</v>
          </cell>
          <cell r="J338">
            <v>0</v>
          </cell>
          <cell r="K338">
            <v>0</v>
          </cell>
          <cell r="L338">
            <v>0</v>
          </cell>
          <cell r="M338">
            <v>0</v>
          </cell>
          <cell r="N338">
            <v>0</v>
          </cell>
          <cell r="O338">
            <v>0</v>
          </cell>
          <cell r="P338">
            <v>0</v>
          </cell>
          <cell r="Q338">
            <v>0</v>
          </cell>
        </row>
        <row r="339">
          <cell r="A339">
            <v>147</v>
          </cell>
          <cell r="B339" t="str">
            <v>31 ـ 11</v>
          </cell>
          <cell r="C339" t="str">
            <v>2017/04/02</v>
          </cell>
          <cell r="D339" t="str">
            <v>أفـريل</v>
          </cell>
          <cell r="E339" t="str">
            <v>مرتـب شهـر أفـريل 2017 ( صنف المستخدمين موظفين مختلف )</v>
          </cell>
          <cell r="F339">
            <v>1086946.3899999999</v>
          </cell>
          <cell r="G339">
            <v>0</v>
          </cell>
          <cell r="H339">
            <v>0</v>
          </cell>
          <cell r="I339">
            <v>0</v>
          </cell>
          <cell r="J339">
            <v>0</v>
          </cell>
          <cell r="K339">
            <v>0</v>
          </cell>
          <cell r="L339">
            <v>0</v>
          </cell>
          <cell r="M339">
            <v>0</v>
          </cell>
          <cell r="N339">
            <v>0</v>
          </cell>
          <cell r="O339">
            <v>0</v>
          </cell>
          <cell r="P339">
            <v>0</v>
          </cell>
          <cell r="Q339">
            <v>0</v>
          </cell>
        </row>
        <row r="340">
          <cell r="A340">
            <v>147</v>
          </cell>
          <cell r="B340" t="str">
            <v>31 ـ 12</v>
          </cell>
          <cell r="C340" t="str">
            <v>2017/04/02</v>
          </cell>
          <cell r="D340" t="str">
            <v>أفـريل</v>
          </cell>
          <cell r="E340" t="str">
            <v>مرتـب شهـر أفـريل 2017 ( صنف المستخدمين موظفين مختلف )</v>
          </cell>
          <cell r="F340">
            <v>574590.28</v>
          </cell>
          <cell r="G340">
            <v>0</v>
          </cell>
          <cell r="H340">
            <v>0</v>
          </cell>
          <cell r="I340">
            <v>0</v>
          </cell>
          <cell r="J340">
            <v>0</v>
          </cell>
          <cell r="K340">
            <v>0</v>
          </cell>
          <cell r="L340">
            <v>0</v>
          </cell>
          <cell r="M340">
            <v>0</v>
          </cell>
          <cell r="N340">
            <v>0</v>
          </cell>
          <cell r="O340">
            <v>0</v>
          </cell>
          <cell r="P340">
            <v>0</v>
          </cell>
          <cell r="Q340">
            <v>0</v>
          </cell>
        </row>
        <row r="341">
          <cell r="A341">
            <v>147</v>
          </cell>
          <cell r="B341" t="str">
            <v>33 ـ 11</v>
          </cell>
          <cell r="C341" t="str">
            <v>2017/04/02</v>
          </cell>
          <cell r="D341" t="str">
            <v>أفـريل</v>
          </cell>
          <cell r="E341" t="str">
            <v>مرتـب شهـر أفـريل 2017 ( صنف المستخدمين موظفين مختلف )</v>
          </cell>
          <cell r="F341">
            <v>37768.75</v>
          </cell>
          <cell r="G341">
            <v>1699305.42</v>
          </cell>
          <cell r="H341">
            <v>0</v>
          </cell>
          <cell r="I341">
            <v>0</v>
          </cell>
          <cell r="J341">
            <v>0</v>
          </cell>
          <cell r="K341">
            <v>0</v>
          </cell>
          <cell r="L341">
            <v>0</v>
          </cell>
          <cell r="M341">
            <v>0</v>
          </cell>
          <cell r="N341">
            <v>0</v>
          </cell>
          <cell r="O341">
            <v>0</v>
          </cell>
          <cell r="P341">
            <v>0</v>
          </cell>
          <cell r="Q341">
            <v>0</v>
          </cell>
        </row>
        <row r="342">
          <cell r="A342">
            <v>148</v>
          </cell>
          <cell r="B342" t="str">
            <v>31 ـ 11</v>
          </cell>
          <cell r="C342" t="str">
            <v>2017/04/02</v>
          </cell>
          <cell r="D342" t="str">
            <v>أفـريل</v>
          </cell>
          <cell r="E342" t="str">
            <v>مرتـب شهـر أفـريل 2017 ( صنف المستخدمين موظفين مختلف )</v>
          </cell>
          <cell r="F342">
            <v>1381723.32</v>
          </cell>
          <cell r="G342">
            <v>0</v>
          </cell>
          <cell r="H342">
            <v>0</v>
          </cell>
          <cell r="I342">
            <v>0</v>
          </cell>
          <cell r="J342">
            <v>0</v>
          </cell>
          <cell r="K342">
            <v>0</v>
          </cell>
          <cell r="L342">
            <v>0</v>
          </cell>
          <cell r="M342">
            <v>0</v>
          </cell>
          <cell r="N342">
            <v>0</v>
          </cell>
          <cell r="O342">
            <v>0</v>
          </cell>
          <cell r="P342">
            <v>0</v>
          </cell>
          <cell r="Q342">
            <v>0</v>
          </cell>
        </row>
        <row r="343">
          <cell r="A343">
            <v>148</v>
          </cell>
          <cell r="B343" t="str">
            <v>31 ـ 12</v>
          </cell>
          <cell r="C343" t="str">
            <v>2017/04/02</v>
          </cell>
          <cell r="D343" t="str">
            <v>أفـريل</v>
          </cell>
          <cell r="E343" t="str">
            <v>مرتـب شهـر أفـريل 2017 ( صنف المستخدمين موظفين مختلف )</v>
          </cell>
          <cell r="F343">
            <v>745650.84</v>
          </cell>
          <cell r="G343">
            <v>0</v>
          </cell>
          <cell r="H343">
            <v>0</v>
          </cell>
          <cell r="I343">
            <v>0</v>
          </cell>
          <cell r="J343">
            <v>0</v>
          </cell>
          <cell r="K343">
            <v>0</v>
          </cell>
          <cell r="L343">
            <v>0</v>
          </cell>
          <cell r="M343">
            <v>0</v>
          </cell>
          <cell r="N343">
            <v>0</v>
          </cell>
          <cell r="O343">
            <v>0</v>
          </cell>
          <cell r="P343">
            <v>0</v>
          </cell>
          <cell r="Q343">
            <v>0</v>
          </cell>
        </row>
        <row r="344">
          <cell r="A344">
            <v>148</v>
          </cell>
          <cell r="B344" t="str">
            <v>33 ـ 11</v>
          </cell>
          <cell r="C344" t="str">
            <v>2017/04/02</v>
          </cell>
          <cell r="D344" t="str">
            <v>أفـريل</v>
          </cell>
          <cell r="E344" t="str">
            <v>مرتـب شهـر أفـريل 2017 ( صنف المستخدمين موظفين مختلف )</v>
          </cell>
          <cell r="F344">
            <v>57981.25</v>
          </cell>
          <cell r="G344">
            <v>2185355.41</v>
          </cell>
          <cell r="H344">
            <v>0</v>
          </cell>
          <cell r="I344">
            <v>0</v>
          </cell>
          <cell r="J344">
            <v>0</v>
          </cell>
          <cell r="K344">
            <v>0</v>
          </cell>
          <cell r="L344">
            <v>0</v>
          </cell>
          <cell r="M344">
            <v>0</v>
          </cell>
          <cell r="N344">
            <v>0</v>
          </cell>
          <cell r="O344">
            <v>0</v>
          </cell>
          <cell r="P344">
            <v>0</v>
          </cell>
          <cell r="Q344">
            <v>0</v>
          </cell>
        </row>
        <row r="345">
          <cell r="A345">
            <v>149</v>
          </cell>
          <cell r="B345" t="str">
            <v>31 ـ 11</v>
          </cell>
          <cell r="C345" t="str">
            <v>2017/04/02</v>
          </cell>
          <cell r="D345" t="str">
            <v>أفـريل</v>
          </cell>
          <cell r="E345" t="str">
            <v>مرتـب شهـر أفـريل 2017 ( صنف المستخدمين موظفين مختلف )</v>
          </cell>
          <cell r="F345">
            <v>81450</v>
          </cell>
          <cell r="G345">
            <v>0</v>
          </cell>
          <cell r="H345">
            <v>0</v>
          </cell>
          <cell r="I345">
            <v>0</v>
          </cell>
          <cell r="J345">
            <v>0</v>
          </cell>
          <cell r="K345">
            <v>0</v>
          </cell>
          <cell r="L345">
            <v>0</v>
          </cell>
          <cell r="M345">
            <v>0</v>
          </cell>
          <cell r="N345">
            <v>0</v>
          </cell>
          <cell r="O345">
            <v>0</v>
          </cell>
          <cell r="P345">
            <v>0</v>
          </cell>
          <cell r="Q345">
            <v>0</v>
          </cell>
        </row>
        <row r="346">
          <cell r="A346">
            <v>149</v>
          </cell>
          <cell r="B346" t="str">
            <v>31 ـ 12</v>
          </cell>
          <cell r="C346" t="str">
            <v>2017/04/02</v>
          </cell>
          <cell r="D346" t="str">
            <v>أفـريل</v>
          </cell>
          <cell r="E346" t="str">
            <v>مرتـب شهـر أفـريل 2017 ( صنف المستخدمين موظفين مختلف )</v>
          </cell>
          <cell r="F346">
            <v>40529.160000000003</v>
          </cell>
          <cell r="G346">
            <v>0</v>
          </cell>
          <cell r="H346">
            <v>0</v>
          </cell>
          <cell r="I346">
            <v>0</v>
          </cell>
          <cell r="J346">
            <v>0</v>
          </cell>
          <cell r="K346">
            <v>0</v>
          </cell>
          <cell r="L346">
            <v>0</v>
          </cell>
          <cell r="M346">
            <v>0</v>
          </cell>
          <cell r="N346">
            <v>0</v>
          </cell>
          <cell r="O346">
            <v>0</v>
          </cell>
          <cell r="P346">
            <v>0</v>
          </cell>
          <cell r="Q346">
            <v>0</v>
          </cell>
        </row>
        <row r="347">
          <cell r="A347">
            <v>149</v>
          </cell>
          <cell r="B347" t="str">
            <v>33 ـ 11</v>
          </cell>
          <cell r="C347" t="str">
            <v>2017/04/02</v>
          </cell>
          <cell r="D347" t="str">
            <v>أفـريل</v>
          </cell>
          <cell r="E347" t="str">
            <v>مرتـب شهـر أفـريل 2017 ( صنف المستخدمين موظفين مختلف )</v>
          </cell>
          <cell r="F347">
            <v>2333.75</v>
          </cell>
          <cell r="G347">
            <v>124312.91</v>
          </cell>
          <cell r="H347">
            <v>0</v>
          </cell>
          <cell r="I347">
            <v>0</v>
          </cell>
          <cell r="J347">
            <v>0</v>
          </cell>
          <cell r="K347">
            <v>0</v>
          </cell>
          <cell r="L347">
            <v>0</v>
          </cell>
          <cell r="M347">
            <v>0</v>
          </cell>
          <cell r="N347">
            <v>0</v>
          </cell>
          <cell r="O347">
            <v>0</v>
          </cell>
          <cell r="P347">
            <v>0</v>
          </cell>
          <cell r="Q347">
            <v>0</v>
          </cell>
        </row>
        <row r="348">
          <cell r="A348">
            <v>150</v>
          </cell>
          <cell r="B348" t="str">
            <v>31 ـ 11</v>
          </cell>
          <cell r="C348" t="str">
            <v>2017/04/02</v>
          </cell>
          <cell r="D348" t="str">
            <v>أفـريل</v>
          </cell>
          <cell r="E348" t="str">
            <v>مرتـب شهـر أفـريل 2017 ( صنف المستخدمين موظفين مختلف )</v>
          </cell>
          <cell r="F348">
            <v>4504936.13</v>
          </cell>
          <cell r="G348">
            <v>0</v>
          </cell>
          <cell r="H348">
            <v>0</v>
          </cell>
          <cell r="I348">
            <v>0</v>
          </cell>
          <cell r="J348">
            <v>0</v>
          </cell>
          <cell r="K348">
            <v>0</v>
          </cell>
          <cell r="L348">
            <v>0</v>
          </cell>
          <cell r="M348">
            <v>0</v>
          </cell>
          <cell r="N348">
            <v>0</v>
          </cell>
          <cell r="O348">
            <v>0</v>
          </cell>
          <cell r="P348">
            <v>0</v>
          </cell>
          <cell r="Q348">
            <v>0</v>
          </cell>
        </row>
        <row r="349">
          <cell r="A349">
            <v>150</v>
          </cell>
          <cell r="B349" t="str">
            <v>31 ـ 12</v>
          </cell>
          <cell r="C349" t="str">
            <v>2017/04/02</v>
          </cell>
          <cell r="D349" t="str">
            <v>أفـريل</v>
          </cell>
          <cell r="E349" t="str">
            <v>مرتـب شهـر أفـريل 2017 ( صنف المستخدمين موظفين مختلف )</v>
          </cell>
          <cell r="F349">
            <v>3033847.09</v>
          </cell>
          <cell r="G349">
            <v>0</v>
          </cell>
          <cell r="H349">
            <v>0</v>
          </cell>
          <cell r="I349">
            <v>0</v>
          </cell>
          <cell r="J349">
            <v>0</v>
          </cell>
          <cell r="K349">
            <v>0</v>
          </cell>
          <cell r="L349">
            <v>0</v>
          </cell>
          <cell r="M349">
            <v>0</v>
          </cell>
          <cell r="N349">
            <v>0</v>
          </cell>
          <cell r="O349">
            <v>0</v>
          </cell>
          <cell r="P349">
            <v>0</v>
          </cell>
          <cell r="Q349">
            <v>0</v>
          </cell>
        </row>
        <row r="350">
          <cell r="A350">
            <v>150</v>
          </cell>
          <cell r="B350" t="str">
            <v>33 ـ 11</v>
          </cell>
          <cell r="C350" t="str">
            <v>2017/04/02</v>
          </cell>
          <cell r="D350" t="str">
            <v>أفـريل</v>
          </cell>
          <cell r="E350" t="str">
            <v>مرتـب شهـر أفـريل 2017 ( صنف المستخدمين موظفين مختلف )</v>
          </cell>
          <cell r="F350">
            <v>144939.75</v>
          </cell>
          <cell r="G350">
            <v>7683722.9699999997</v>
          </cell>
          <cell r="H350">
            <v>0</v>
          </cell>
          <cell r="I350">
            <v>0</v>
          </cell>
          <cell r="J350">
            <v>0</v>
          </cell>
          <cell r="K350">
            <v>0</v>
          </cell>
          <cell r="L350">
            <v>0</v>
          </cell>
          <cell r="M350">
            <v>0</v>
          </cell>
          <cell r="N350">
            <v>0</v>
          </cell>
          <cell r="O350">
            <v>0</v>
          </cell>
          <cell r="P350">
            <v>0</v>
          </cell>
          <cell r="Q350">
            <v>0</v>
          </cell>
        </row>
        <row r="351">
          <cell r="A351">
            <v>151</v>
          </cell>
          <cell r="B351" t="str">
            <v>31 ـ 11</v>
          </cell>
          <cell r="C351" t="str">
            <v>2017/04/02</v>
          </cell>
          <cell r="D351" t="str">
            <v>أفـريل</v>
          </cell>
          <cell r="E351" t="str">
            <v>مرتـب شهـر أفـريل 2017 ( صنف المستخدمين موظفين مختلف )</v>
          </cell>
          <cell r="F351">
            <v>242895.16</v>
          </cell>
          <cell r="G351">
            <v>0</v>
          </cell>
          <cell r="H351">
            <v>0</v>
          </cell>
          <cell r="I351">
            <v>0</v>
          </cell>
          <cell r="J351">
            <v>0</v>
          </cell>
          <cell r="K351">
            <v>0</v>
          </cell>
          <cell r="L351">
            <v>0</v>
          </cell>
          <cell r="M351">
            <v>0</v>
          </cell>
          <cell r="N351">
            <v>0</v>
          </cell>
          <cell r="O351">
            <v>0</v>
          </cell>
          <cell r="P351">
            <v>0</v>
          </cell>
          <cell r="Q351">
            <v>0</v>
          </cell>
        </row>
        <row r="352">
          <cell r="A352">
            <v>151</v>
          </cell>
          <cell r="B352" t="str">
            <v>31 ـ 12</v>
          </cell>
          <cell r="C352" t="str">
            <v>2017/04/02</v>
          </cell>
          <cell r="D352" t="str">
            <v>أفـريل</v>
          </cell>
          <cell r="E352" t="str">
            <v>مرتـب شهـر أفـريل 2017 ( صنف المستخدمين موظفين مختلف )</v>
          </cell>
          <cell r="F352">
            <v>118295.14</v>
          </cell>
          <cell r="G352">
            <v>0</v>
          </cell>
          <cell r="H352">
            <v>0</v>
          </cell>
          <cell r="I352">
            <v>0</v>
          </cell>
          <cell r="J352">
            <v>0</v>
          </cell>
          <cell r="K352">
            <v>0</v>
          </cell>
          <cell r="L352">
            <v>0</v>
          </cell>
          <cell r="M352">
            <v>0</v>
          </cell>
          <cell r="N352">
            <v>0</v>
          </cell>
          <cell r="O352">
            <v>0</v>
          </cell>
          <cell r="P352">
            <v>0</v>
          </cell>
          <cell r="Q352">
            <v>0</v>
          </cell>
        </row>
        <row r="353">
          <cell r="A353">
            <v>151</v>
          </cell>
          <cell r="B353" t="str">
            <v>33 ـ 11</v>
          </cell>
          <cell r="C353" t="str">
            <v>2017/04/02</v>
          </cell>
          <cell r="D353" t="str">
            <v>أفـريل</v>
          </cell>
          <cell r="E353" t="str">
            <v>مرتـب شهـر أفـريل 2017 ( صنف المستخدمين موظفين مختلف )</v>
          </cell>
          <cell r="F353">
            <v>5500</v>
          </cell>
          <cell r="G353">
            <v>366690.3</v>
          </cell>
          <cell r="H353">
            <v>0</v>
          </cell>
          <cell r="I353">
            <v>0</v>
          </cell>
          <cell r="J353">
            <v>0</v>
          </cell>
          <cell r="K353">
            <v>0</v>
          </cell>
          <cell r="L353">
            <v>0</v>
          </cell>
          <cell r="M353">
            <v>0</v>
          </cell>
          <cell r="N353">
            <v>0</v>
          </cell>
          <cell r="O353">
            <v>0</v>
          </cell>
          <cell r="P353">
            <v>0</v>
          </cell>
          <cell r="Q353">
            <v>0</v>
          </cell>
        </row>
        <row r="354">
          <cell r="A354">
            <v>152</v>
          </cell>
          <cell r="B354" t="str">
            <v>31 ـ 11</v>
          </cell>
          <cell r="C354" t="str">
            <v>2017/04/02</v>
          </cell>
          <cell r="D354" t="str">
            <v>أفـريل</v>
          </cell>
          <cell r="E354" t="str">
            <v>مرتـب شهـر أفـريل 2017 ( صنف المستخدمين موظفين مختلف )</v>
          </cell>
          <cell r="F354">
            <v>1475011.12</v>
          </cell>
          <cell r="G354">
            <v>0</v>
          </cell>
          <cell r="H354">
            <v>0</v>
          </cell>
          <cell r="I354">
            <v>0</v>
          </cell>
          <cell r="J354">
            <v>0</v>
          </cell>
          <cell r="K354">
            <v>0</v>
          </cell>
          <cell r="L354">
            <v>0</v>
          </cell>
          <cell r="M354">
            <v>0</v>
          </cell>
          <cell r="N354">
            <v>0</v>
          </cell>
          <cell r="O354">
            <v>0</v>
          </cell>
          <cell r="P354">
            <v>0</v>
          </cell>
          <cell r="Q354">
            <v>0</v>
          </cell>
        </row>
        <row r="355">
          <cell r="A355">
            <v>152</v>
          </cell>
          <cell r="B355" t="str">
            <v>31 ـ 12</v>
          </cell>
          <cell r="C355" t="str">
            <v>2017/04/02</v>
          </cell>
          <cell r="D355" t="str">
            <v>أفـريل</v>
          </cell>
          <cell r="E355" t="str">
            <v>مرتـب شهـر أفـريل 2017 ( صنف المستخدمين موظفين مختلف )</v>
          </cell>
          <cell r="F355">
            <v>1594436.59</v>
          </cell>
          <cell r="G355">
            <v>0</v>
          </cell>
          <cell r="H355">
            <v>0</v>
          </cell>
          <cell r="I355">
            <v>0</v>
          </cell>
          <cell r="J355">
            <v>0</v>
          </cell>
          <cell r="K355">
            <v>0</v>
          </cell>
          <cell r="L355">
            <v>0</v>
          </cell>
          <cell r="M355">
            <v>0</v>
          </cell>
          <cell r="N355">
            <v>0</v>
          </cell>
          <cell r="O355">
            <v>0</v>
          </cell>
          <cell r="P355">
            <v>0</v>
          </cell>
          <cell r="Q355">
            <v>0</v>
          </cell>
        </row>
        <row r="356">
          <cell r="A356">
            <v>152</v>
          </cell>
          <cell r="B356" t="str">
            <v>33 ـ 11</v>
          </cell>
          <cell r="C356" t="str">
            <v>2017/04/02</v>
          </cell>
          <cell r="D356" t="str">
            <v>أفـريل</v>
          </cell>
          <cell r="E356" t="str">
            <v>مرتـب شهـر أفـريل 2017 ( صنف المستخدمين موظفين مختلف )</v>
          </cell>
          <cell r="F356">
            <v>27758.75</v>
          </cell>
          <cell r="G356">
            <v>3097206.46</v>
          </cell>
          <cell r="H356">
            <v>0</v>
          </cell>
          <cell r="I356">
            <v>0</v>
          </cell>
          <cell r="J356">
            <v>0</v>
          </cell>
          <cell r="K356">
            <v>0</v>
          </cell>
          <cell r="L356">
            <v>0</v>
          </cell>
          <cell r="M356">
            <v>0</v>
          </cell>
          <cell r="N356">
            <v>0</v>
          </cell>
          <cell r="O356">
            <v>0</v>
          </cell>
          <cell r="P356">
            <v>0</v>
          </cell>
          <cell r="Q356">
            <v>0</v>
          </cell>
        </row>
        <row r="357">
          <cell r="A357">
            <v>153</v>
          </cell>
          <cell r="B357" t="str">
            <v>31 ـ 11</v>
          </cell>
          <cell r="C357" t="str">
            <v>2017/04/02</v>
          </cell>
          <cell r="D357" t="str">
            <v>أفـريل</v>
          </cell>
          <cell r="E357" t="str">
            <v>مرتـب شهـر أفـريل 2017 ( صنف المستخدمين موظفين مختلف )</v>
          </cell>
          <cell r="F357">
            <v>214875</v>
          </cell>
          <cell r="G357">
            <v>0</v>
          </cell>
          <cell r="H357">
            <v>0</v>
          </cell>
          <cell r="I357">
            <v>0</v>
          </cell>
          <cell r="J357">
            <v>0</v>
          </cell>
          <cell r="K357">
            <v>0</v>
          </cell>
          <cell r="L357">
            <v>0</v>
          </cell>
          <cell r="M357">
            <v>0</v>
          </cell>
          <cell r="N357">
            <v>0</v>
          </cell>
          <cell r="O357">
            <v>0</v>
          </cell>
          <cell r="P357">
            <v>0</v>
          </cell>
          <cell r="Q357">
            <v>0</v>
          </cell>
        </row>
        <row r="358">
          <cell r="A358">
            <v>153</v>
          </cell>
          <cell r="B358" t="str">
            <v>31 ـ 12</v>
          </cell>
          <cell r="C358" t="str">
            <v>2017/04/02</v>
          </cell>
          <cell r="D358" t="str">
            <v>أفـريل</v>
          </cell>
          <cell r="E358" t="str">
            <v>مرتـب شهـر أفـريل 2017 ( صنف المستخدمين موظفين مختلف )</v>
          </cell>
          <cell r="F358">
            <v>115570.8</v>
          </cell>
          <cell r="G358">
            <v>0</v>
          </cell>
          <cell r="H358">
            <v>0</v>
          </cell>
          <cell r="I358">
            <v>0</v>
          </cell>
          <cell r="J358">
            <v>0</v>
          </cell>
          <cell r="K358">
            <v>0</v>
          </cell>
          <cell r="L358">
            <v>0</v>
          </cell>
          <cell r="M358">
            <v>0</v>
          </cell>
          <cell r="N358">
            <v>0</v>
          </cell>
          <cell r="O358">
            <v>0</v>
          </cell>
          <cell r="P358">
            <v>0</v>
          </cell>
          <cell r="Q358">
            <v>0</v>
          </cell>
        </row>
        <row r="359">
          <cell r="A359">
            <v>153</v>
          </cell>
          <cell r="B359" t="str">
            <v>33 ـ 11</v>
          </cell>
          <cell r="C359" t="str">
            <v>2017/04/02</v>
          </cell>
          <cell r="D359" t="str">
            <v>أفـريل</v>
          </cell>
          <cell r="E359" t="str">
            <v>مرتـب شهـر أفـريل 2017 ( صنف المستخدمين موظفين مختلف )</v>
          </cell>
          <cell r="F359">
            <v>7733.75</v>
          </cell>
          <cell r="G359">
            <v>338179.55</v>
          </cell>
          <cell r="H359">
            <v>0</v>
          </cell>
          <cell r="I359">
            <v>0</v>
          </cell>
          <cell r="J359">
            <v>0</v>
          </cell>
          <cell r="K359">
            <v>0</v>
          </cell>
          <cell r="L359">
            <v>0</v>
          </cell>
          <cell r="M359">
            <v>0</v>
          </cell>
          <cell r="N359">
            <v>0</v>
          </cell>
          <cell r="O359">
            <v>0</v>
          </cell>
          <cell r="P359">
            <v>0</v>
          </cell>
          <cell r="Q359">
            <v>0</v>
          </cell>
        </row>
        <row r="360">
          <cell r="A360">
            <v>154</v>
          </cell>
          <cell r="B360" t="str">
            <v>33 ـ 13</v>
          </cell>
          <cell r="C360" t="str">
            <v>2017/04/02</v>
          </cell>
          <cell r="D360" t="str">
            <v>أفـريل</v>
          </cell>
          <cell r="E360">
            <v>0</v>
          </cell>
          <cell r="F360">
            <v>3860759.7</v>
          </cell>
          <cell r="G360">
            <v>0</v>
          </cell>
          <cell r="H360">
            <v>0</v>
          </cell>
          <cell r="I360">
            <v>0</v>
          </cell>
          <cell r="J360">
            <v>0</v>
          </cell>
          <cell r="K360">
            <v>0</v>
          </cell>
          <cell r="L360">
            <v>0</v>
          </cell>
          <cell r="M360">
            <v>0</v>
          </cell>
          <cell r="N360">
            <v>0</v>
          </cell>
          <cell r="O360">
            <v>0</v>
          </cell>
          <cell r="P360">
            <v>0</v>
          </cell>
          <cell r="Q360">
            <v>0</v>
          </cell>
        </row>
        <row r="361">
          <cell r="A361">
            <v>155</v>
          </cell>
          <cell r="B361" t="str">
            <v>32 ـ 12</v>
          </cell>
          <cell r="C361" t="str">
            <v>2017/04/02</v>
          </cell>
          <cell r="D361" t="str">
            <v>أفـريل</v>
          </cell>
          <cell r="E361" t="str">
            <v>مرتـب شهـر أفـريل 2017 ( صنف المستخدمين ضحايا الإرهاب )</v>
          </cell>
          <cell r="F361">
            <v>1614288.16</v>
          </cell>
          <cell r="G361">
            <v>0</v>
          </cell>
          <cell r="H361">
            <v>0</v>
          </cell>
          <cell r="I361">
            <v>0</v>
          </cell>
          <cell r="J361">
            <v>0</v>
          </cell>
          <cell r="K361">
            <v>0</v>
          </cell>
          <cell r="L361">
            <v>0</v>
          </cell>
          <cell r="M361">
            <v>0</v>
          </cell>
          <cell r="N361">
            <v>0</v>
          </cell>
          <cell r="O361">
            <v>0</v>
          </cell>
          <cell r="P361">
            <v>0</v>
          </cell>
          <cell r="Q361">
            <v>0</v>
          </cell>
        </row>
        <row r="362">
          <cell r="A362">
            <v>156</v>
          </cell>
          <cell r="B362" t="str">
            <v>32 ـ 12</v>
          </cell>
          <cell r="C362" t="str">
            <v>2017/04/02</v>
          </cell>
          <cell r="D362" t="str">
            <v>أفـريل</v>
          </cell>
          <cell r="E362" t="str">
            <v>مرتـب شهـر أفـريل 2017 ( صنف المستخدمين ضحايا الإرهاب )</v>
          </cell>
          <cell r="F362">
            <v>247812.37</v>
          </cell>
          <cell r="G362">
            <v>0</v>
          </cell>
          <cell r="H362">
            <v>0</v>
          </cell>
          <cell r="I362">
            <v>0</v>
          </cell>
          <cell r="J362">
            <v>0</v>
          </cell>
          <cell r="K362">
            <v>0</v>
          </cell>
          <cell r="L362">
            <v>0</v>
          </cell>
          <cell r="M362">
            <v>0</v>
          </cell>
          <cell r="N362">
            <v>0</v>
          </cell>
          <cell r="O362">
            <v>0</v>
          </cell>
          <cell r="P362">
            <v>0</v>
          </cell>
          <cell r="Q362">
            <v>0</v>
          </cell>
        </row>
        <row r="363">
          <cell r="A363">
            <v>157</v>
          </cell>
          <cell r="B363" t="str">
            <v>32 ـ 12</v>
          </cell>
          <cell r="C363" t="str">
            <v>2017/04/02</v>
          </cell>
          <cell r="D363" t="str">
            <v>أفـريل</v>
          </cell>
          <cell r="E363" t="str">
            <v>مرتـب شهـر أفـريل 2017 ( صنف المستخدمين ضحايا الإرهاب )</v>
          </cell>
          <cell r="F363">
            <v>46394.48</v>
          </cell>
          <cell r="G363">
            <v>0</v>
          </cell>
          <cell r="H363">
            <v>0</v>
          </cell>
          <cell r="I363">
            <v>0</v>
          </cell>
          <cell r="J363">
            <v>0</v>
          </cell>
          <cell r="K363">
            <v>0</v>
          </cell>
          <cell r="L363">
            <v>0</v>
          </cell>
          <cell r="M363">
            <v>0</v>
          </cell>
          <cell r="N363">
            <v>0</v>
          </cell>
          <cell r="O363">
            <v>0</v>
          </cell>
          <cell r="P363">
            <v>0</v>
          </cell>
          <cell r="Q363">
            <v>0</v>
          </cell>
        </row>
        <row r="364">
          <cell r="A364">
            <v>158</v>
          </cell>
          <cell r="B364" t="str">
            <v>31 ـ 11</v>
          </cell>
          <cell r="C364" t="str">
            <v>2017/04/02</v>
          </cell>
          <cell r="D364" t="str">
            <v>أفـريل</v>
          </cell>
          <cell r="E364" t="str">
            <v>مرتـب شهـر أفـريل 2017 ( صنف المستخدمين المندوبين المكلفين بمهمة الأمن )</v>
          </cell>
          <cell r="F364">
            <v>136818.72</v>
          </cell>
          <cell r="G364">
            <v>0</v>
          </cell>
          <cell r="H364">
            <v>0</v>
          </cell>
          <cell r="I364">
            <v>0</v>
          </cell>
          <cell r="J364">
            <v>0</v>
          </cell>
          <cell r="K364">
            <v>0</v>
          </cell>
          <cell r="L364">
            <v>0</v>
          </cell>
          <cell r="M364">
            <v>0</v>
          </cell>
          <cell r="N364">
            <v>0</v>
          </cell>
          <cell r="O364">
            <v>0</v>
          </cell>
          <cell r="P364">
            <v>0</v>
          </cell>
          <cell r="Q364">
            <v>0</v>
          </cell>
        </row>
        <row r="365">
          <cell r="A365">
            <v>158</v>
          </cell>
          <cell r="B365" t="str">
            <v>31 ـ 12</v>
          </cell>
          <cell r="C365" t="str">
            <v>2017/04/02</v>
          </cell>
          <cell r="D365" t="str">
            <v>أفـريل</v>
          </cell>
          <cell r="E365" t="str">
            <v>مرتـب شهـر أفـريل 2017 ( صنف المستخدمين المندوبين المكلفين بمهمة الأمن )</v>
          </cell>
          <cell r="F365">
            <v>77753.48</v>
          </cell>
          <cell r="G365">
            <v>0</v>
          </cell>
          <cell r="H365">
            <v>0</v>
          </cell>
          <cell r="I365">
            <v>0</v>
          </cell>
          <cell r="J365">
            <v>0</v>
          </cell>
          <cell r="K365">
            <v>0</v>
          </cell>
          <cell r="L365">
            <v>0</v>
          </cell>
          <cell r="M365">
            <v>0</v>
          </cell>
          <cell r="N365">
            <v>0</v>
          </cell>
          <cell r="O365">
            <v>0</v>
          </cell>
          <cell r="P365">
            <v>0</v>
          </cell>
          <cell r="Q365">
            <v>0</v>
          </cell>
        </row>
        <row r="366">
          <cell r="A366">
            <v>158</v>
          </cell>
          <cell r="B366" t="str">
            <v>33 ـ 11</v>
          </cell>
          <cell r="C366" t="str">
            <v>2017/04/02</v>
          </cell>
          <cell r="D366" t="str">
            <v>أفـريل</v>
          </cell>
          <cell r="E366" t="str">
            <v>مرتـب شهـر أفـريل 2017 ( صنف المستخدمين المندوبين المكلفين بمهمة الأمن )</v>
          </cell>
          <cell r="F366">
            <v>6700</v>
          </cell>
          <cell r="G366">
            <v>221272.2</v>
          </cell>
          <cell r="H366">
            <v>0</v>
          </cell>
          <cell r="I366">
            <v>0</v>
          </cell>
          <cell r="J366">
            <v>0</v>
          </cell>
          <cell r="K366">
            <v>0</v>
          </cell>
          <cell r="L366">
            <v>0</v>
          </cell>
          <cell r="M366">
            <v>0</v>
          </cell>
          <cell r="N366">
            <v>0</v>
          </cell>
          <cell r="O366">
            <v>0</v>
          </cell>
          <cell r="P366">
            <v>0</v>
          </cell>
          <cell r="Q366">
            <v>0</v>
          </cell>
        </row>
        <row r="367">
          <cell r="A367">
            <v>159</v>
          </cell>
          <cell r="B367" t="str">
            <v>33 ـ 13</v>
          </cell>
          <cell r="C367" t="str">
            <v>2017/04/02</v>
          </cell>
          <cell r="D367" t="str">
            <v>أفـريل</v>
          </cell>
          <cell r="E367" t="str">
            <v>مرتـب شهـر أفـريل 2017 ( صنف المستخدمين المندوبين المكلفين بمهمة الأمن )</v>
          </cell>
          <cell r="F367">
            <v>53643.05</v>
          </cell>
          <cell r="G367">
            <v>0</v>
          </cell>
          <cell r="H367">
            <v>0</v>
          </cell>
          <cell r="I367">
            <v>0</v>
          </cell>
          <cell r="J367">
            <v>0</v>
          </cell>
          <cell r="K367">
            <v>0</v>
          </cell>
          <cell r="L367">
            <v>0</v>
          </cell>
          <cell r="M367">
            <v>0</v>
          </cell>
          <cell r="N367">
            <v>0</v>
          </cell>
          <cell r="O367">
            <v>0</v>
          </cell>
          <cell r="P367">
            <v>0</v>
          </cell>
          <cell r="Q367">
            <v>0</v>
          </cell>
        </row>
        <row r="368">
          <cell r="A368">
            <v>160</v>
          </cell>
          <cell r="B368" t="str">
            <v>31 ـ 13</v>
          </cell>
          <cell r="C368" t="str">
            <v>2017/04/02</v>
          </cell>
          <cell r="D368" t="str">
            <v>أفـريل</v>
          </cell>
          <cell r="E368" t="str">
            <v>مرتـب شهـر أفـريل 2017 ( صنف المستخدمين أعوان الوقاية ومتعاقدين توقيت كلي و جزئي )</v>
          </cell>
          <cell r="F368">
            <v>115354.24000000001</v>
          </cell>
          <cell r="G368">
            <v>0</v>
          </cell>
          <cell r="H368">
            <v>0</v>
          </cell>
          <cell r="I368">
            <v>0</v>
          </cell>
          <cell r="J368">
            <v>0</v>
          </cell>
          <cell r="K368">
            <v>0</v>
          </cell>
          <cell r="L368">
            <v>0</v>
          </cell>
          <cell r="M368">
            <v>0</v>
          </cell>
          <cell r="N368">
            <v>0</v>
          </cell>
          <cell r="O368">
            <v>0</v>
          </cell>
          <cell r="P368">
            <v>0</v>
          </cell>
          <cell r="Q368">
            <v>0</v>
          </cell>
        </row>
        <row r="369">
          <cell r="A369">
            <v>160</v>
          </cell>
          <cell r="B369" t="str">
            <v>31 ـ 13</v>
          </cell>
          <cell r="C369" t="str">
            <v>2017/04/02</v>
          </cell>
          <cell r="D369" t="str">
            <v>أفـريل</v>
          </cell>
          <cell r="E369" t="str">
            <v>مرتـب شهـر أفـريل 2017 ( صنف المستخدمين أعوان الوقاية ومتعاقدين توقيت كلي و جزئي )</v>
          </cell>
          <cell r="F369">
            <v>79368.89</v>
          </cell>
          <cell r="G369">
            <v>0</v>
          </cell>
          <cell r="H369">
            <v>0</v>
          </cell>
          <cell r="I369">
            <v>0</v>
          </cell>
          <cell r="J369">
            <v>0</v>
          </cell>
          <cell r="K369">
            <v>0</v>
          </cell>
          <cell r="L369">
            <v>0</v>
          </cell>
          <cell r="M369">
            <v>0</v>
          </cell>
          <cell r="N369">
            <v>0</v>
          </cell>
          <cell r="O369">
            <v>0</v>
          </cell>
          <cell r="P369">
            <v>0</v>
          </cell>
          <cell r="Q369">
            <v>0</v>
          </cell>
        </row>
        <row r="370">
          <cell r="A370">
            <v>160</v>
          </cell>
          <cell r="B370" t="str">
            <v>31 ـ 13</v>
          </cell>
          <cell r="C370" t="str">
            <v>2017/04/02</v>
          </cell>
          <cell r="D370" t="str">
            <v>أفـريل</v>
          </cell>
          <cell r="E370" t="str">
            <v>مرتـب شهـر أفـريل 2017 ( صنف المستخدمين أعوان الوقاية ومتعاقدين توقيت كلي و جزئي )</v>
          </cell>
          <cell r="F370">
            <v>11111.25</v>
          </cell>
          <cell r="G370">
            <v>205834.38</v>
          </cell>
          <cell r="H370">
            <v>0</v>
          </cell>
          <cell r="I370">
            <v>0</v>
          </cell>
          <cell r="J370">
            <v>0</v>
          </cell>
          <cell r="K370">
            <v>0</v>
          </cell>
          <cell r="L370">
            <v>0</v>
          </cell>
          <cell r="M370">
            <v>0</v>
          </cell>
          <cell r="N370">
            <v>0</v>
          </cell>
          <cell r="O370">
            <v>0</v>
          </cell>
          <cell r="P370">
            <v>0</v>
          </cell>
          <cell r="Q370">
            <v>0</v>
          </cell>
        </row>
        <row r="371">
          <cell r="A371">
            <v>161</v>
          </cell>
          <cell r="B371" t="str">
            <v>31 ـ 13</v>
          </cell>
          <cell r="C371" t="str">
            <v>2017/04/02</v>
          </cell>
          <cell r="D371" t="str">
            <v>أفـريل</v>
          </cell>
          <cell r="E371" t="str">
            <v>مرتـب شهـر أفـريل 2017 ( صنف المستخدمين أعوان الوقاية ومتعاقدين توقيت كلي و جزئي )</v>
          </cell>
          <cell r="F371">
            <v>169246.65</v>
          </cell>
          <cell r="G371">
            <v>0</v>
          </cell>
          <cell r="H371">
            <v>0</v>
          </cell>
          <cell r="I371">
            <v>0</v>
          </cell>
          <cell r="J371">
            <v>0</v>
          </cell>
          <cell r="K371">
            <v>0</v>
          </cell>
          <cell r="L371">
            <v>0</v>
          </cell>
          <cell r="M371">
            <v>0</v>
          </cell>
          <cell r="N371">
            <v>0</v>
          </cell>
          <cell r="O371">
            <v>0</v>
          </cell>
          <cell r="P371">
            <v>0</v>
          </cell>
          <cell r="Q371">
            <v>0</v>
          </cell>
        </row>
        <row r="372">
          <cell r="A372">
            <v>161</v>
          </cell>
          <cell r="B372" t="str">
            <v>31 ـ 13</v>
          </cell>
          <cell r="C372" t="str">
            <v>2017/04/02</v>
          </cell>
          <cell r="D372" t="str">
            <v>أفـريل</v>
          </cell>
          <cell r="E372" t="str">
            <v>مرتـب شهـر أفـريل 2017 ( صنف المستخدمين أعوان الوقاية ومتعاقدين توقيت كلي و جزئي )</v>
          </cell>
          <cell r="F372">
            <v>122332.28</v>
          </cell>
          <cell r="G372">
            <v>0</v>
          </cell>
          <cell r="H372">
            <v>0</v>
          </cell>
          <cell r="I372">
            <v>0</v>
          </cell>
          <cell r="J372">
            <v>0</v>
          </cell>
          <cell r="K372">
            <v>0</v>
          </cell>
          <cell r="L372">
            <v>0</v>
          </cell>
          <cell r="M372">
            <v>0</v>
          </cell>
          <cell r="N372">
            <v>0</v>
          </cell>
          <cell r="O372">
            <v>0</v>
          </cell>
          <cell r="P372">
            <v>0</v>
          </cell>
          <cell r="Q372">
            <v>0</v>
          </cell>
        </row>
        <row r="373">
          <cell r="A373">
            <v>161</v>
          </cell>
          <cell r="B373" t="str">
            <v>31 ـ 13</v>
          </cell>
          <cell r="C373" t="str">
            <v>2017/04/02</v>
          </cell>
          <cell r="D373" t="str">
            <v>أفـريل</v>
          </cell>
          <cell r="E373" t="str">
            <v>مرتـب شهـر أفـريل 2017 ( صنف المستخدمين أعوان الوقاية ومتعاقدين توقيت كلي و جزئي )</v>
          </cell>
          <cell r="F373">
            <v>15900</v>
          </cell>
          <cell r="G373">
            <v>307478.93</v>
          </cell>
          <cell r="H373">
            <v>0</v>
          </cell>
        </row>
        <row r="374">
          <cell r="A374">
            <v>162</v>
          </cell>
          <cell r="B374" t="str">
            <v>31 ـ 13</v>
          </cell>
          <cell r="C374" t="str">
            <v>2017/04/02</v>
          </cell>
          <cell r="D374" t="str">
            <v>أفـريل</v>
          </cell>
          <cell r="E374" t="str">
            <v>مرتـب شهـر أفـريل 2017 ( صنف المستخدمين أعوان الوقاية ومتعاقدين توقيت كلي و جزئي )</v>
          </cell>
          <cell r="F374">
            <v>71926.66</v>
          </cell>
          <cell r="H374">
            <v>0</v>
          </cell>
        </row>
        <row r="375">
          <cell r="A375">
            <v>162</v>
          </cell>
          <cell r="B375" t="str">
            <v>31 ـ 13</v>
          </cell>
          <cell r="C375" t="str">
            <v>2017/04/02</v>
          </cell>
          <cell r="D375" t="str">
            <v>أفـريل</v>
          </cell>
          <cell r="E375" t="str">
            <v>مرتـب شهـر أفـريل 2017 ( صنف المستخدمين أعوان الوقاية ومتعاقدين توقيت كلي و جزئي )</v>
          </cell>
          <cell r="F375">
            <v>46221.15</v>
          </cell>
          <cell r="H375">
            <v>0</v>
          </cell>
        </row>
        <row r="376">
          <cell r="A376">
            <v>162</v>
          </cell>
          <cell r="B376" t="str">
            <v>31 ـ 13</v>
          </cell>
          <cell r="C376" t="str">
            <v>2017/04/02</v>
          </cell>
          <cell r="D376" t="str">
            <v>أفـريل</v>
          </cell>
          <cell r="E376" t="str">
            <v>مرتـب شهـر أفـريل 2017 ( صنف المستخدمين أعوان الوقاية ومتعاقدين توقيت كلي و جزئي )</v>
          </cell>
          <cell r="F376">
            <v>6200</v>
          </cell>
          <cell r="G376">
            <v>124347.81</v>
          </cell>
          <cell r="H376">
            <v>0</v>
          </cell>
          <cell r="I376">
            <v>0</v>
          </cell>
          <cell r="J376">
            <v>0</v>
          </cell>
          <cell r="K376">
            <v>0</v>
          </cell>
          <cell r="L376">
            <v>0</v>
          </cell>
          <cell r="M376">
            <v>0</v>
          </cell>
          <cell r="N376">
            <v>0</v>
          </cell>
          <cell r="O376">
            <v>0</v>
          </cell>
          <cell r="P376">
            <v>0</v>
          </cell>
          <cell r="Q376">
            <v>0</v>
          </cell>
        </row>
        <row r="377">
          <cell r="A377">
            <v>163</v>
          </cell>
          <cell r="B377" t="str">
            <v>31 ـ 13</v>
          </cell>
          <cell r="C377" t="str">
            <v>2017/04/02</v>
          </cell>
          <cell r="D377" t="str">
            <v>أفـريل</v>
          </cell>
          <cell r="E377" t="str">
            <v>مرتـب شهـر أفـريل 2017 ( صنف المستخدمين أعوان الوقاية ومتعاقدين توقيت كلي و جزئي )</v>
          </cell>
          <cell r="F377">
            <v>186457.65</v>
          </cell>
          <cell r="G377">
            <v>0</v>
          </cell>
          <cell r="H377">
            <v>0</v>
          </cell>
          <cell r="I377">
            <v>0</v>
          </cell>
          <cell r="J377">
            <v>0</v>
          </cell>
          <cell r="K377">
            <v>0</v>
          </cell>
          <cell r="L377">
            <v>0</v>
          </cell>
          <cell r="M377">
            <v>0</v>
          </cell>
          <cell r="N377">
            <v>0</v>
          </cell>
          <cell r="O377">
            <v>0</v>
          </cell>
          <cell r="P377">
            <v>0</v>
          </cell>
          <cell r="Q377">
            <v>0</v>
          </cell>
        </row>
        <row r="378">
          <cell r="A378">
            <v>163</v>
          </cell>
          <cell r="B378" t="str">
            <v>31 ـ 13</v>
          </cell>
          <cell r="C378" t="str">
            <v>2017/04/02</v>
          </cell>
          <cell r="D378" t="str">
            <v>أفـريل</v>
          </cell>
          <cell r="E378" t="str">
            <v>مرتـب شهـر أفـريل 2017 ( صنف المستخدمين أعوان الوقاية ومتعاقدين توقيت كلي و جزئي )</v>
          </cell>
          <cell r="F378">
            <v>125721.45</v>
          </cell>
          <cell r="G378">
            <v>0</v>
          </cell>
          <cell r="H378">
            <v>0</v>
          </cell>
          <cell r="I378">
            <v>0</v>
          </cell>
          <cell r="J378">
            <v>0</v>
          </cell>
          <cell r="K378">
            <v>0</v>
          </cell>
          <cell r="L378">
            <v>0</v>
          </cell>
          <cell r="M378">
            <v>0</v>
          </cell>
          <cell r="N378">
            <v>0</v>
          </cell>
          <cell r="O378">
            <v>0</v>
          </cell>
          <cell r="P378">
            <v>0</v>
          </cell>
          <cell r="Q378">
            <v>0</v>
          </cell>
        </row>
        <row r="379">
          <cell r="A379">
            <v>163</v>
          </cell>
          <cell r="B379" t="str">
            <v>31 ـ 13</v>
          </cell>
          <cell r="C379" t="str">
            <v>2017/04/02</v>
          </cell>
          <cell r="D379" t="str">
            <v>أفـريل</v>
          </cell>
          <cell r="E379" t="str">
            <v>مرتـب شهـر أفـريل 2017 ( صنف المستخدمين أعوان الوقاية ومتعاقدين توقيت كلي و جزئي )</v>
          </cell>
          <cell r="F379">
            <v>16522.5</v>
          </cell>
          <cell r="G379">
            <v>328701.59999999998</v>
          </cell>
          <cell r="H379">
            <v>0</v>
          </cell>
          <cell r="I379">
            <v>0</v>
          </cell>
          <cell r="J379">
            <v>0</v>
          </cell>
          <cell r="K379">
            <v>0</v>
          </cell>
          <cell r="L379">
            <v>0</v>
          </cell>
          <cell r="M379">
            <v>0</v>
          </cell>
          <cell r="N379">
            <v>0</v>
          </cell>
          <cell r="O379">
            <v>0</v>
          </cell>
          <cell r="P379">
            <v>0</v>
          </cell>
          <cell r="Q379">
            <v>0</v>
          </cell>
        </row>
        <row r="380">
          <cell r="A380">
            <v>164</v>
          </cell>
          <cell r="B380" t="str">
            <v>31 ـ 13</v>
          </cell>
          <cell r="C380" t="str">
            <v>2017/04/02</v>
          </cell>
          <cell r="D380" t="str">
            <v>أفـريل</v>
          </cell>
          <cell r="E380" t="str">
            <v>مرتـب شهـر أفـريل 2017 ( صنف المستخدمين أعوان الوقاية ومتعاقدين توقيت كلي و جزئي )</v>
          </cell>
          <cell r="F380">
            <v>1084136.6000000001</v>
          </cell>
          <cell r="G380">
            <v>0</v>
          </cell>
          <cell r="H380">
            <v>0</v>
          </cell>
          <cell r="I380">
            <v>0</v>
          </cell>
          <cell r="J380">
            <v>0</v>
          </cell>
          <cell r="K380">
            <v>0</v>
          </cell>
          <cell r="L380">
            <v>0</v>
          </cell>
          <cell r="M380">
            <v>0</v>
          </cell>
          <cell r="N380">
            <v>0</v>
          </cell>
          <cell r="O380">
            <v>0</v>
          </cell>
          <cell r="P380">
            <v>0</v>
          </cell>
          <cell r="Q380">
            <v>0</v>
          </cell>
        </row>
        <row r="381">
          <cell r="A381">
            <v>164</v>
          </cell>
          <cell r="B381" t="str">
            <v>31 ـ 13</v>
          </cell>
          <cell r="C381" t="str">
            <v>2017/04/02</v>
          </cell>
          <cell r="D381" t="str">
            <v>أفـريل</v>
          </cell>
          <cell r="E381" t="str">
            <v>مرتـب شهـر أفـريل 2017 ( صنف المستخدمين أعوان الوقاية ومتعاقدين توقيت كلي و جزئي )</v>
          </cell>
          <cell r="F381">
            <v>795432.4</v>
          </cell>
          <cell r="G381">
            <v>0</v>
          </cell>
          <cell r="H381">
            <v>0</v>
          </cell>
          <cell r="I381">
            <v>0</v>
          </cell>
          <cell r="J381">
            <v>0</v>
          </cell>
          <cell r="K381">
            <v>0</v>
          </cell>
          <cell r="L381">
            <v>0</v>
          </cell>
          <cell r="M381">
            <v>0</v>
          </cell>
          <cell r="N381">
            <v>0</v>
          </cell>
          <cell r="O381">
            <v>0</v>
          </cell>
          <cell r="P381">
            <v>0</v>
          </cell>
          <cell r="Q381">
            <v>0</v>
          </cell>
        </row>
        <row r="382">
          <cell r="A382">
            <v>164</v>
          </cell>
          <cell r="B382" t="str">
            <v>31 ـ 13</v>
          </cell>
          <cell r="C382" t="str">
            <v>2017/04/02</v>
          </cell>
          <cell r="D382" t="str">
            <v>أفـريل</v>
          </cell>
          <cell r="E382" t="str">
            <v>مرتـب شهـر أفـريل 2017 ( صنف المستخدمين أعوان الوقاية ومتعاقدين توقيت كلي و جزئي )</v>
          </cell>
          <cell r="F382">
            <v>96657.5</v>
          </cell>
          <cell r="G382">
            <v>1976226.5</v>
          </cell>
          <cell r="H382">
            <v>0</v>
          </cell>
          <cell r="I382">
            <v>0</v>
          </cell>
          <cell r="J382">
            <v>0</v>
          </cell>
          <cell r="K382">
            <v>0</v>
          </cell>
          <cell r="L382">
            <v>0</v>
          </cell>
          <cell r="M382">
            <v>0</v>
          </cell>
          <cell r="N382">
            <v>0</v>
          </cell>
          <cell r="O382">
            <v>0</v>
          </cell>
          <cell r="P382">
            <v>0</v>
          </cell>
          <cell r="Q382">
            <v>0</v>
          </cell>
        </row>
        <row r="383">
          <cell r="A383">
            <v>165</v>
          </cell>
          <cell r="B383" t="str">
            <v>31 ـ 13</v>
          </cell>
          <cell r="C383" t="str">
            <v>2017/04/02</v>
          </cell>
          <cell r="D383" t="str">
            <v>أفـريل</v>
          </cell>
          <cell r="E383" t="str">
            <v>مرتـب شهـر أفـريل 2017 ( صنف المستخدمين أعوان الوقاية ومتعاقدين توقيت كلي و جزئي )</v>
          </cell>
          <cell r="F383">
            <v>46646.05</v>
          </cell>
          <cell r="G383">
            <v>0</v>
          </cell>
          <cell r="H383">
            <v>0</v>
          </cell>
          <cell r="I383">
            <v>0</v>
          </cell>
          <cell r="J383">
            <v>0</v>
          </cell>
          <cell r="K383">
            <v>0</v>
          </cell>
          <cell r="L383">
            <v>0</v>
          </cell>
          <cell r="M383">
            <v>0</v>
          </cell>
          <cell r="N383">
            <v>0</v>
          </cell>
          <cell r="O383">
            <v>0</v>
          </cell>
          <cell r="P383">
            <v>0</v>
          </cell>
          <cell r="Q383">
            <v>0</v>
          </cell>
        </row>
        <row r="384">
          <cell r="A384">
            <v>165</v>
          </cell>
          <cell r="B384" t="str">
            <v>31 ـ 13</v>
          </cell>
          <cell r="C384" t="str">
            <v>2017/04/02</v>
          </cell>
          <cell r="D384" t="str">
            <v>أفـريل</v>
          </cell>
          <cell r="E384" t="str">
            <v>مرتـب شهـر أفـريل 2017 ( صنف المستخدمين أعوان الوقاية ومتعاقدين توقيت كلي و جزئي )</v>
          </cell>
          <cell r="F384">
            <v>34439.019999999997</v>
          </cell>
          <cell r="G384">
            <v>0</v>
          </cell>
          <cell r="H384">
            <v>0</v>
          </cell>
          <cell r="I384">
            <v>0</v>
          </cell>
          <cell r="J384">
            <v>0</v>
          </cell>
          <cell r="K384">
            <v>0</v>
          </cell>
          <cell r="L384">
            <v>0</v>
          </cell>
          <cell r="M384">
            <v>0</v>
          </cell>
          <cell r="N384">
            <v>0</v>
          </cell>
          <cell r="O384">
            <v>0</v>
          </cell>
          <cell r="P384">
            <v>0</v>
          </cell>
          <cell r="Q384">
            <v>0</v>
          </cell>
        </row>
        <row r="385">
          <cell r="A385">
            <v>165</v>
          </cell>
          <cell r="B385" t="str">
            <v>31 ـ 13</v>
          </cell>
          <cell r="C385" t="str">
            <v>2017/04/02</v>
          </cell>
          <cell r="D385" t="str">
            <v>أفـريل</v>
          </cell>
          <cell r="E385" t="str">
            <v>مرتـب شهـر أفـريل 2017 ( صنف المستخدمين أعوان الوقاية ومتعاقدين توقيت كلي و جزئي )</v>
          </cell>
          <cell r="F385">
            <v>4300</v>
          </cell>
          <cell r="G385">
            <v>85385.07</v>
          </cell>
          <cell r="H385">
            <v>0</v>
          </cell>
        </row>
        <row r="386">
          <cell r="A386">
            <v>166</v>
          </cell>
          <cell r="B386" t="str">
            <v>31 ـ 13</v>
          </cell>
          <cell r="C386" t="str">
            <v>2017/04/02</v>
          </cell>
          <cell r="D386" t="str">
            <v>أفـريل</v>
          </cell>
          <cell r="E386" t="str">
            <v>مرتـب شهـر أفـريل 2017 ( صنف المستخدمين توقيت جزئي )</v>
          </cell>
          <cell r="F386">
            <v>40311.269999999997</v>
          </cell>
          <cell r="G386">
            <v>0</v>
          </cell>
          <cell r="H386">
            <v>0</v>
          </cell>
        </row>
        <row r="387">
          <cell r="A387">
            <v>166</v>
          </cell>
          <cell r="B387" t="str">
            <v>31 ـ 13</v>
          </cell>
          <cell r="C387" t="str">
            <v>2017/04/02</v>
          </cell>
          <cell r="D387" t="str">
            <v>أفـريل</v>
          </cell>
          <cell r="E387" t="str">
            <v>مرتـب شهـر أفـريل 2017 ( صنف المستخدمين توقيت جزئي )</v>
          </cell>
          <cell r="F387">
            <v>35115.11</v>
          </cell>
          <cell r="G387">
            <v>0</v>
          </cell>
          <cell r="H387">
            <v>0</v>
          </cell>
        </row>
        <row r="388">
          <cell r="A388">
            <v>166</v>
          </cell>
          <cell r="B388" t="str">
            <v>31 ـ 13</v>
          </cell>
          <cell r="C388" t="str">
            <v>2017/04/02</v>
          </cell>
          <cell r="D388" t="str">
            <v>أفـريل</v>
          </cell>
          <cell r="E388" t="str">
            <v>مرتـب شهـر أفـريل 2017 ( صنف المستخدمين توقيت جزئي )</v>
          </cell>
          <cell r="F388">
            <v>2811.25</v>
          </cell>
          <cell r="G388">
            <v>78237.63</v>
          </cell>
          <cell r="H388">
            <v>0</v>
          </cell>
          <cell r="I388">
            <v>0</v>
          </cell>
          <cell r="J388">
            <v>0</v>
          </cell>
          <cell r="K388">
            <v>0</v>
          </cell>
          <cell r="L388">
            <v>0</v>
          </cell>
          <cell r="M388">
            <v>0</v>
          </cell>
          <cell r="N388">
            <v>0</v>
          </cell>
          <cell r="O388">
            <v>0</v>
          </cell>
          <cell r="P388">
            <v>0</v>
          </cell>
          <cell r="Q388">
            <v>0</v>
          </cell>
        </row>
        <row r="389">
          <cell r="A389">
            <v>167</v>
          </cell>
          <cell r="B389" t="str">
            <v>31 ـ 13</v>
          </cell>
          <cell r="C389" t="str">
            <v>2017/04/02</v>
          </cell>
          <cell r="D389" t="str">
            <v>أفـريل</v>
          </cell>
          <cell r="E389" t="str">
            <v>مرتـب شهـر أفـريل 2017 ( صنف المستخدمين توقيت جزئي )</v>
          </cell>
          <cell r="F389">
            <v>147486.14000000001</v>
          </cell>
          <cell r="G389">
            <v>0</v>
          </cell>
          <cell r="H389">
            <v>0</v>
          </cell>
          <cell r="I389">
            <v>0</v>
          </cell>
          <cell r="J389">
            <v>0</v>
          </cell>
          <cell r="K389">
            <v>0</v>
          </cell>
          <cell r="L389">
            <v>0</v>
          </cell>
          <cell r="M389">
            <v>0</v>
          </cell>
          <cell r="N389">
            <v>0</v>
          </cell>
          <cell r="O389">
            <v>0</v>
          </cell>
          <cell r="P389">
            <v>0</v>
          </cell>
          <cell r="Q389">
            <v>0</v>
          </cell>
        </row>
        <row r="390">
          <cell r="A390">
            <v>167</v>
          </cell>
          <cell r="B390" t="str">
            <v>31 ـ 13</v>
          </cell>
          <cell r="C390" t="str">
            <v>2017/04/02</v>
          </cell>
          <cell r="D390" t="str">
            <v>أفـريل</v>
          </cell>
          <cell r="E390" t="str">
            <v>مرتـب شهـر أفـريل 2017 ( صنف المستخدمين توقيت جزئي )</v>
          </cell>
          <cell r="F390">
            <v>127369.8</v>
          </cell>
          <cell r="G390">
            <v>0</v>
          </cell>
          <cell r="H390">
            <v>0</v>
          </cell>
          <cell r="I390">
            <v>0</v>
          </cell>
          <cell r="J390">
            <v>0</v>
          </cell>
          <cell r="K390">
            <v>0</v>
          </cell>
          <cell r="L390">
            <v>0</v>
          </cell>
          <cell r="M390">
            <v>0</v>
          </cell>
          <cell r="N390">
            <v>0</v>
          </cell>
          <cell r="O390">
            <v>0</v>
          </cell>
          <cell r="P390">
            <v>0</v>
          </cell>
          <cell r="Q390">
            <v>0</v>
          </cell>
        </row>
        <row r="391">
          <cell r="A391">
            <v>167</v>
          </cell>
          <cell r="B391" t="str">
            <v>31 ـ 13</v>
          </cell>
          <cell r="C391" t="str">
            <v>2017/04/02</v>
          </cell>
          <cell r="D391" t="str">
            <v>أفـريل</v>
          </cell>
          <cell r="E391" t="str">
            <v>مرتـب شهـر أفـريل 2017 ( صنف المستخدمين توقيت جزئي )</v>
          </cell>
          <cell r="F391">
            <v>9833.75</v>
          </cell>
          <cell r="G391">
            <v>284689.69</v>
          </cell>
          <cell r="H391">
            <v>0</v>
          </cell>
          <cell r="I391">
            <v>0</v>
          </cell>
          <cell r="J391">
            <v>0</v>
          </cell>
          <cell r="K391">
            <v>0</v>
          </cell>
          <cell r="L391">
            <v>0</v>
          </cell>
          <cell r="M391">
            <v>0</v>
          </cell>
          <cell r="N391">
            <v>0</v>
          </cell>
          <cell r="O391">
            <v>0</v>
          </cell>
          <cell r="P391">
            <v>0</v>
          </cell>
          <cell r="Q391">
            <v>0</v>
          </cell>
        </row>
        <row r="392">
          <cell r="A392">
            <v>168</v>
          </cell>
          <cell r="B392" t="str">
            <v>31 ـ 13</v>
          </cell>
          <cell r="C392" t="str">
            <v>2017/04/02</v>
          </cell>
          <cell r="D392" t="str">
            <v>أفـريل</v>
          </cell>
          <cell r="E392" t="str">
            <v>مرتـب شهـر أفـريل 2017 ( صنف المستخدمين متعاقدين عقد غير محدد المدة توقيت 05 سا و 08 سا )</v>
          </cell>
          <cell r="F392">
            <v>806891.33</v>
          </cell>
          <cell r="H392">
            <v>0</v>
          </cell>
          <cell r="I392">
            <v>0</v>
          </cell>
          <cell r="J392">
            <v>0</v>
          </cell>
          <cell r="K392">
            <v>0</v>
          </cell>
          <cell r="L392">
            <v>0</v>
          </cell>
          <cell r="M392">
            <v>0</v>
          </cell>
          <cell r="N392">
            <v>0</v>
          </cell>
          <cell r="O392">
            <v>0</v>
          </cell>
          <cell r="P392">
            <v>0</v>
          </cell>
          <cell r="Q392">
            <v>0</v>
          </cell>
        </row>
        <row r="393">
          <cell r="A393">
            <v>169</v>
          </cell>
          <cell r="B393" t="str">
            <v>31 ـ 12</v>
          </cell>
          <cell r="C393" t="str">
            <v>2017/04/02</v>
          </cell>
          <cell r="D393" t="str">
            <v>أفـريل</v>
          </cell>
          <cell r="E393" t="str">
            <v>علاوة تحسين الآداء للثلاثي الأول 2017 ( صنف المستخدمين المندوبين المكلفين بمهمة الأمن )</v>
          </cell>
          <cell r="F393">
            <v>123136.86</v>
          </cell>
          <cell r="H393">
            <v>0</v>
          </cell>
          <cell r="I393">
            <v>0</v>
          </cell>
          <cell r="J393">
            <v>0</v>
          </cell>
          <cell r="K393">
            <v>0</v>
          </cell>
          <cell r="L393">
            <v>0</v>
          </cell>
          <cell r="M393">
            <v>0</v>
          </cell>
          <cell r="N393">
            <v>0</v>
          </cell>
          <cell r="O393">
            <v>0</v>
          </cell>
          <cell r="P393">
            <v>0</v>
          </cell>
          <cell r="Q393">
            <v>0</v>
          </cell>
        </row>
        <row r="394">
          <cell r="A394">
            <v>170</v>
          </cell>
          <cell r="B394" t="str">
            <v>33 ـ 13</v>
          </cell>
          <cell r="C394" t="str">
            <v>2017/04/02</v>
          </cell>
          <cell r="D394" t="str">
            <v>أفـريل</v>
          </cell>
          <cell r="E394" t="str">
            <v>علاوة تحسين الآداء للثلاثي الأول 2017 ( صنف المستخدمين المندوبين المكلفين بمهمة الأمن )</v>
          </cell>
          <cell r="F394">
            <v>30784.21</v>
          </cell>
          <cell r="H394">
            <v>0</v>
          </cell>
          <cell r="I394">
            <v>0</v>
          </cell>
          <cell r="J394">
            <v>0</v>
          </cell>
          <cell r="K394">
            <v>0</v>
          </cell>
          <cell r="L394">
            <v>0</v>
          </cell>
          <cell r="M394">
            <v>0</v>
          </cell>
          <cell r="N394">
            <v>0</v>
          </cell>
          <cell r="O394">
            <v>0</v>
          </cell>
          <cell r="P394">
            <v>0</v>
          </cell>
          <cell r="Q394">
            <v>0</v>
          </cell>
        </row>
        <row r="395">
          <cell r="A395">
            <v>171</v>
          </cell>
          <cell r="B395" t="str">
            <v>31 ـ 13</v>
          </cell>
          <cell r="C395" t="str">
            <v>2017/04/02</v>
          </cell>
          <cell r="D395" t="str">
            <v>أفـريل</v>
          </cell>
          <cell r="E395" t="str">
            <v>علاوة تحسين الآداء للثلاثي الأول 2017 ( صنف المستخدمين أعوان الوقاية ومتعاقدين توقيت كلي و جزئي )</v>
          </cell>
          <cell r="F395">
            <v>97548.57</v>
          </cell>
          <cell r="H395">
            <v>0</v>
          </cell>
          <cell r="I395">
            <v>0</v>
          </cell>
          <cell r="J395">
            <v>0</v>
          </cell>
          <cell r="K395">
            <v>0</v>
          </cell>
          <cell r="L395">
            <v>0</v>
          </cell>
          <cell r="M395">
            <v>0</v>
          </cell>
          <cell r="N395">
            <v>0</v>
          </cell>
          <cell r="O395">
            <v>0</v>
          </cell>
          <cell r="P395">
            <v>0</v>
          </cell>
          <cell r="Q395">
            <v>0</v>
          </cell>
        </row>
        <row r="396">
          <cell r="A396">
            <v>172</v>
          </cell>
          <cell r="B396" t="str">
            <v>31 ـ 13</v>
          </cell>
          <cell r="C396" t="str">
            <v>2017/04/02</v>
          </cell>
          <cell r="D396" t="str">
            <v>أفـريل</v>
          </cell>
          <cell r="E396" t="str">
            <v>علاوة تحسين الآداء للثلاثي الأول 2017 ( صنف المستخدمين أعوان الوقاية ومتعاقدين توقيت كلي و جزئي )</v>
          </cell>
          <cell r="F396">
            <v>145852.29</v>
          </cell>
          <cell r="H396">
            <v>0</v>
          </cell>
          <cell r="I396">
            <v>0</v>
          </cell>
          <cell r="J396">
            <v>0</v>
          </cell>
          <cell r="K396">
            <v>0</v>
          </cell>
          <cell r="L396">
            <v>0</v>
          </cell>
          <cell r="M396">
            <v>0</v>
          </cell>
          <cell r="N396">
            <v>0</v>
          </cell>
          <cell r="O396">
            <v>0</v>
          </cell>
          <cell r="P396">
            <v>0</v>
          </cell>
          <cell r="Q396">
            <v>0</v>
          </cell>
        </row>
        <row r="397">
          <cell r="A397">
            <v>173</v>
          </cell>
          <cell r="B397" t="str">
            <v>31 ـ 13</v>
          </cell>
          <cell r="C397" t="str">
            <v>2017/04/02</v>
          </cell>
          <cell r="D397" t="str">
            <v>أفـريل</v>
          </cell>
          <cell r="E397" t="str">
            <v>علاوة تحسين الآداء للثلاثي الأول 2017 ( صنف المستخدمين أعوان الوقاية ومتعاقدين توقيت كلي و جزئي )</v>
          </cell>
          <cell r="F397">
            <v>59882.97</v>
          </cell>
          <cell r="H397">
            <v>0</v>
          </cell>
          <cell r="I397">
            <v>0</v>
          </cell>
          <cell r="J397">
            <v>0</v>
          </cell>
          <cell r="K397">
            <v>0</v>
          </cell>
          <cell r="L397">
            <v>0</v>
          </cell>
          <cell r="M397">
            <v>0</v>
          </cell>
          <cell r="N397">
            <v>0</v>
          </cell>
          <cell r="O397">
            <v>0</v>
          </cell>
          <cell r="P397">
            <v>0</v>
          </cell>
          <cell r="Q397">
            <v>0</v>
          </cell>
        </row>
        <row r="398">
          <cell r="A398">
            <v>174</v>
          </cell>
          <cell r="B398" t="str">
            <v>31 ـ 13</v>
          </cell>
          <cell r="C398" t="str">
            <v>2017/04/02</v>
          </cell>
          <cell r="D398" t="str">
            <v>أفـريل</v>
          </cell>
          <cell r="E398" t="str">
            <v>علاوة تحسين الآداء للثلاثي الأول 2017 ( صنف المستخدمين أعوان الوقاية ومتعاقدين توقيت كلي و جزئي )</v>
          </cell>
          <cell r="F398">
            <v>157769.46</v>
          </cell>
          <cell r="H398">
            <v>0</v>
          </cell>
          <cell r="I398">
            <v>0</v>
          </cell>
          <cell r="J398">
            <v>0</v>
          </cell>
          <cell r="K398">
            <v>0</v>
          </cell>
          <cell r="L398">
            <v>0</v>
          </cell>
          <cell r="M398">
            <v>0</v>
          </cell>
          <cell r="N398">
            <v>0</v>
          </cell>
          <cell r="O398">
            <v>0</v>
          </cell>
          <cell r="P398">
            <v>0</v>
          </cell>
          <cell r="Q398">
            <v>0</v>
          </cell>
        </row>
        <row r="399">
          <cell r="A399">
            <v>175</v>
          </cell>
          <cell r="B399" t="str">
            <v>31 ـ 13</v>
          </cell>
          <cell r="C399" t="str">
            <v>2017/04/02</v>
          </cell>
          <cell r="D399" t="str">
            <v>أفـريل</v>
          </cell>
          <cell r="E399" t="str">
            <v>علاوة تحسين الآداء للثلاثي الأول 2017 ( صنف المستخدمين أعوان الوقاية ومتعاقدين توقيت كلي و جزئي )</v>
          </cell>
          <cell r="F399">
            <v>930142.56</v>
          </cell>
          <cell r="H399">
            <v>0</v>
          </cell>
          <cell r="I399">
            <v>0</v>
          </cell>
          <cell r="J399">
            <v>0</v>
          </cell>
          <cell r="K399">
            <v>0</v>
          </cell>
          <cell r="L399">
            <v>0</v>
          </cell>
          <cell r="M399">
            <v>0</v>
          </cell>
          <cell r="N399">
            <v>0</v>
          </cell>
          <cell r="O399">
            <v>0</v>
          </cell>
          <cell r="P399">
            <v>0</v>
          </cell>
          <cell r="Q399">
            <v>0</v>
          </cell>
        </row>
        <row r="400">
          <cell r="A400">
            <v>176</v>
          </cell>
          <cell r="B400" t="str">
            <v>31 ـ 13</v>
          </cell>
          <cell r="C400" t="str">
            <v>2017/04/02</v>
          </cell>
          <cell r="D400" t="str">
            <v>أفـريل</v>
          </cell>
          <cell r="E400" t="str">
            <v>علاوة تحسين الآداء للثلاثي الأول 2017 ( صنف المستخدمين أعوان الوقاية ومتعاقدين توقيت كلي و جزئي )</v>
          </cell>
          <cell r="F400">
            <v>40380.75</v>
          </cell>
          <cell r="H400">
            <v>0</v>
          </cell>
          <cell r="I400">
            <v>0</v>
          </cell>
          <cell r="J400">
            <v>0</v>
          </cell>
          <cell r="K400">
            <v>0</v>
          </cell>
          <cell r="L400">
            <v>0</v>
          </cell>
          <cell r="M400">
            <v>0</v>
          </cell>
          <cell r="N400">
            <v>0</v>
          </cell>
          <cell r="O400">
            <v>0</v>
          </cell>
          <cell r="P400">
            <v>0</v>
          </cell>
          <cell r="Q400">
            <v>0</v>
          </cell>
        </row>
        <row r="401">
          <cell r="A401">
            <v>177</v>
          </cell>
          <cell r="B401" t="str">
            <v>31 ـ 13</v>
          </cell>
          <cell r="C401" t="str">
            <v>2017/04/02</v>
          </cell>
          <cell r="D401" t="str">
            <v>أفـريل</v>
          </cell>
          <cell r="E401" t="str">
            <v>علاوة تحسين الآداء للثلاثي الأول 2017 ( صنف المستخدمين  توقيت جزئي )</v>
          </cell>
          <cell r="F401">
            <v>28427.22</v>
          </cell>
          <cell r="H401">
            <v>0</v>
          </cell>
          <cell r="I401">
            <v>0</v>
          </cell>
          <cell r="J401">
            <v>0</v>
          </cell>
          <cell r="K401">
            <v>0</v>
          </cell>
          <cell r="L401">
            <v>0</v>
          </cell>
          <cell r="M401">
            <v>0</v>
          </cell>
          <cell r="N401">
            <v>0</v>
          </cell>
          <cell r="O401">
            <v>0</v>
          </cell>
          <cell r="P401">
            <v>0</v>
          </cell>
          <cell r="Q401">
            <v>0</v>
          </cell>
        </row>
        <row r="402">
          <cell r="A402">
            <v>178</v>
          </cell>
          <cell r="B402" t="str">
            <v>31 ـ 13</v>
          </cell>
          <cell r="C402" t="str">
            <v>2017/04/02</v>
          </cell>
          <cell r="D402" t="str">
            <v>أفـريل</v>
          </cell>
          <cell r="E402" t="str">
            <v>علاوة تحسين الآداء للثلاثي الأول 2017 ( صنف المستخدمين  توقيت جزئي )</v>
          </cell>
          <cell r="F402">
            <v>104794.68</v>
          </cell>
          <cell r="H402">
            <v>0</v>
          </cell>
          <cell r="I402">
            <v>0</v>
          </cell>
          <cell r="J402">
            <v>0</v>
          </cell>
          <cell r="K402">
            <v>0</v>
          </cell>
          <cell r="L402">
            <v>0</v>
          </cell>
          <cell r="M402">
            <v>0</v>
          </cell>
          <cell r="N402">
            <v>0</v>
          </cell>
          <cell r="O402">
            <v>0</v>
          </cell>
          <cell r="P402">
            <v>0</v>
          </cell>
          <cell r="Q402">
            <v>0</v>
          </cell>
        </row>
        <row r="403">
          <cell r="A403">
            <v>179</v>
          </cell>
          <cell r="B403" t="str">
            <v>31 ـ 13</v>
          </cell>
          <cell r="C403" t="str">
            <v>2017/04/02</v>
          </cell>
          <cell r="D403" t="str">
            <v>أفـريل</v>
          </cell>
          <cell r="E403" t="str">
            <v>علاوة تحسين الآداء للثلاثي الأول 2017 ( صنف المستخدمين متعاقدين عقد غير محدد المدة توقيت 05 سا و 08 سا )</v>
          </cell>
          <cell r="F403">
            <v>391199.63</v>
          </cell>
          <cell r="H403">
            <v>0</v>
          </cell>
          <cell r="I403">
            <v>0</v>
          </cell>
          <cell r="J403">
            <v>0</v>
          </cell>
          <cell r="K403">
            <v>0</v>
          </cell>
          <cell r="L403">
            <v>0</v>
          </cell>
          <cell r="M403">
            <v>0</v>
          </cell>
          <cell r="N403">
            <v>0</v>
          </cell>
          <cell r="O403">
            <v>0</v>
          </cell>
          <cell r="P403">
            <v>0</v>
          </cell>
          <cell r="Q403">
            <v>0</v>
          </cell>
        </row>
        <row r="404">
          <cell r="A404">
            <v>180</v>
          </cell>
          <cell r="B404" t="str">
            <v>31 ـ 12</v>
          </cell>
          <cell r="C404" t="str">
            <v>2017/04/18</v>
          </cell>
          <cell r="D404" t="str">
            <v>أفـريل</v>
          </cell>
          <cell r="E404" t="str">
            <v>علاوة الصفقات للثلاثي الأول 2017</v>
          </cell>
          <cell r="F404">
            <v>310320</v>
          </cell>
          <cell r="H404">
            <v>0</v>
          </cell>
          <cell r="I404">
            <v>0</v>
          </cell>
          <cell r="J404">
            <v>0</v>
          </cell>
          <cell r="K404">
            <v>0</v>
          </cell>
          <cell r="L404">
            <v>0</v>
          </cell>
          <cell r="M404">
            <v>0</v>
          </cell>
          <cell r="N404">
            <v>0</v>
          </cell>
          <cell r="O404">
            <v>0</v>
          </cell>
          <cell r="P404">
            <v>0</v>
          </cell>
          <cell r="Q404">
            <v>0</v>
          </cell>
        </row>
        <row r="405">
          <cell r="A405">
            <v>181</v>
          </cell>
          <cell r="B405" t="str">
            <v>31 ـ 12</v>
          </cell>
          <cell r="C405" t="str">
            <v>2017/04/18</v>
          </cell>
          <cell r="D405" t="str">
            <v>أفـريل</v>
          </cell>
          <cell r="E405" t="str">
            <v>علاوة الصفقات للثلاثي الأول 2017</v>
          </cell>
          <cell r="F405">
            <v>230400</v>
          </cell>
          <cell r="H405">
            <v>0</v>
          </cell>
          <cell r="I405">
            <v>0</v>
          </cell>
          <cell r="J405">
            <v>0</v>
          </cell>
          <cell r="K405">
            <v>0</v>
          </cell>
          <cell r="L405">
            <v>0</v>
          </cell>
          <cell r="M405">
            <v>0</v>
          </cell>
          <cell r="N405">
            <v>0</v>
          </cell>
          <cell r="O405">
            <v>0</v>
          </cell>
          <cell r="P405">
            <v>0</v>
          </cell>
          <cell r="Q405">
            <v>0</v>
          </cell>
        </row>
        <row r="406">
          <cell r="A406">
            <v>182</v>
          </cell>
          <cell r="B406" t="str">
            <v>31 ـ 12</v>
          </cell>
          <cell r="C406" t="str">
            <v>2017/04/18</v>
          </cell>
          <cell r="D406" t="str">
            <v>أفـريل</v>
          </cell>
          <cell r="E406" t="str">
            <v>علاوة الصفقات للثلاثي الأول 2017</v>
          </cell>
          <cell r="F406">
            <v>29160</v>
          </cell>
          <cell r="H406">
            <v>0</v>
          </cell>
          <cell r="I406">
            <v>0</v>
          </cell>
          <cell r="J406">
            <v>0</v>
          </cell>
          <cell r="K406">
            <v>0</v>
          </cell>
          <cell r="L406">
            <v>0</v>
          </cell>
          <cell r="M406">
            <v>0</v>
          </cell>
          <cell r="N406">
            <v>0</v>
          </cell>
          <cell r="O406">
            <v>0</v>
          </cell>
          <cell r="P406">
            <v>0</v>
          </cell>
          <cell r="Q406">
            <v>0</v>
          </cell>
        </row>
        <row r="410">
          <cell r="A410">
            <v>202</v>
          </cell>
          <cell r="B410" t="str">
            <v>31 ـ 11</v>
          </cell>
          <cell r="C410" t="str">
            <v>2017/05/02</v>
          </cell>
          <cell r="D410" t="str">
            <v>مـاي</v>
          </cell>
          <cell r="E410" t="str">
            <v>مرتـب شهـر مـاي 2017 ( صنف المستخدمين المندوبين المكلفين بمهمة الأمن )</v>
          </cell>
          <cell r="F410">
            <v>136818.72</v>
          </cell>
          <cell r="G410">
            <v>0</v>
          </cell>
          <cell r="H410">
            <v>0</v>
          </cell>
          <cell r="I410">
            <v>0</v>
          </cell>
          <cell r="J410">
            <v>0</v>
          </cell>
          <cell r="K410">
            <v>0</v>
          </cell>
          <cell r="L410">
            <v>0</v>
          </cell>
          <cell r="M410">
            <v>0</v>
          </cell>
          <cell r="N410">
            <v>0</v>
          </cell>
          <cell r="O410">
            <v>0</v>
          </cell>
          <cell r="P410">
            <v>0</v>
          </cell>
          <cell r="Q410">
            <v>0</v>
          </cell>
        </row>
        <row r="411">
          <cell r="A411">
            <v>202</v>
          </cell>
          <cell r="B411" t="str">
            <v>31 ـ 12</v>
          </cell>
          <cell r="C411" t="str">
            <v>2017/05/02</v>
          </cell>
          <cell r="D411" t="str">
            <v>مـاي</v>
          </cell>
          <cell r="E411" t="str">
            <v>مرتـب شهـر مـاي 2017 ( صنف المستخدمين المندوبين المكلفين بمهمة الأمن )</v>
          </cell>
          <cell r="F411">
            <v>77753.48</v>
          </cell>
          <cell r="G411">
            <v>0</v>
          </cell>
          <cell r="H411">
            <v>0</v>
          </cell>
          <cell r="I411">
            <v>0</v>
          </cell>
          <cell r="J411">
            <v>0</v>
          </cell>
          <cell r="K411">
            <v>0</v>
          </cell>
          <cell r="L411">
            <v>0</v>
          </cell>
          <cell r="M411">
            <v>0</v>
          </cell>
          <cell r="N411">
            <v>0</v>
          </cell>
          <cell r="O411">
            <v>0</v>
          </cell>
          <cell r="P411">
            <v>0</v>
          </cell>
          <cell r="Q411">
            <v>0</v>
          </cell>
        </row>
        <row r="412">
          <cell r="A412">
            <v>202</v>
          </cell>
          <cell r="B412" t="str">
            <v>33 ـ 11</v>
          </cell>
          <cell r="C412" t="str">
            <v>2017/05/02</v>
          </cell>
          <cell r="D412" t="str">
            <v>مـاي</v>
          </cell>
          <cell r="E412" t="str">
            <v>مرتـب شهـر مـاي 2017 ( صنف المستخدمين المندوبين المكلفين بمهمة الأمن )</v>
          </cell>
          <cell r="F412">
            <v>6700</v>
          </cell>
          <cell r="G412">
            <v>221272.2</v>
          </cell>
          <cell r="H412">
            <v>0</v>
          </cell>
          <cell r="I412">
            <v>0</v>
          </cell>
          <cell r="J412">
            <v>0</v>
          </cell>
          <cell r="K412">
            <v>0</v>
          </cell>
          <cell r="L412">
            <v>0</v>
          </cell>
          <cell r="M412">
            <v>0</v>
          </cell>
          <cell r="N412">
            <v>0</v>
          </cell>
          <cell r="O412">
            <v>0</v>
          </cell>
          <cell r="P412">
            <v>0</v>
          </cell>
          <cell r="Q412">
            <v>0</v>
          </cell>
        </row>
        <row r="413">
          <cell r="A413">
            <v>203</v>
          </cell>
          <cell r="B413" t="str">
            <v>33 ـ 13</v>
          </cell>
          <cell r="C413" t="str">
            <v>2017/05/02</v>
          </cell>
          <cell r="D413" t="str">
            <v>مـاي</v>
          </cell>
          <cell r="E413" t="str">
            <v>مرتـب شهـر مـاي 2017 ( صنف المستخدمين المندوبين المكلفين بمهمة الأمن )</v>
          </cell>
          <cell r="F413">
            <v>53643.05</v>
          </cell>
          <cell r="H413">
            <v>0</v>
          </cell>
          <cell r="I413">
            <v>0</v>
          </cell>
          <cell r="J413">
            <v>0</v>
          </cell>
          <cell r="K413">
            <v>0</v>
          </cell>
          <cell r="L413">
            <v>0</v>
          </cell>
          <cell r="M413">
            <v>0</v>
          </cell>
          <cell r="N413">
            <v>0</v>
          </cell>
          <cell r="O413">
            <v>0</v>
          </cell>
          <cell r="P413">
            <v>0</v>
          </cell>
          <cell r="Q413">
            <v>0</v>
          </cell>
        </row>
        <row r="414">
          <cell r="A414">
            <v>204</v>
          </cell>
          <cell r="B414" t="str">
            <v>31 ـ 13</v>
          </cell>
          <cell r="C414" t="str">
            <v>2017/05/02</v>
          </cell>
          <cell r="D414" t="str">
            <v>مـاي</v>
          </cell>
          <cell r="E414" t="str">
            <v>مرتـب شهـر مـاي 2017 ( صنف المستخدمين أعوان الوقاية ومتعاقدين توقيت كلي و جزئي )</v>
          </cell>
          <cell r="F414">
            <v>115354.24000000001</v>
          </cell>
          <cell r="G414">
            <v>0</v>
          </cell>
          <cell r="H414">
            <v>0</v>
          </cell>
          <cell r="I414">
            <v>0</v>
          </cell>
          <cell r="J414">
            <v>0</v>
          </cell>
          <cell r="K414">
            <v>0</v>
          </cell>
          <cell r="L414">
            <v>0</v>
          </cell>
          <cell r="M414">
            <v>0</v>
          </cell>
          <cell r="N414">
            <v>0</v>
          </cell>
          <cell r="O414">
            <v>0</v>
          </cell>
          <cell r="P414">
            <v>0</v>
          </cell>
          <cell r="Q414">
            <v>0</v>
          </cell>
        </row>
        <row r="415">
          <cell r="A415">
            <v>204</v>
          </cell>
          <cell r="B415" t="str">
            <v>31 ـ 13</v>
          </cell>
          <cell r="C415" t="str">
            <v>2017/05/02</v>
          </cell>
          <cell r="D415" t="str">
            <v>مـاي</v>
          </cell>
          <cell r="E415" t="str">
            <v>مرتـب شهـر مـاي 2017 ( صنف المستخدمين أعوان الوقاية ومتعاقدين توقيت كلي و جزئي )</v>
          </cell>
          <cell r="F415">
            <v>79368.89</v>
          </cell>
          <cell r="G415">
            <v>0</v>
          </cell>
          <cell r="H415">
            <v>0</v>
          </cell>
          <cell r="I415">
            <v>0</v>
          </cell>
          <cell r="J415">
            <v>0</v>
          </cell>
          <cell r="K415">
            <v>0</v>
          </cell>
          <cell r="L415">
            <v>0</v>
          </cell>
          <cell r="M415">
            <v>0</v>
          </cell>
          <cell r="N415">
            <v>0</v>
          </cell>
          <cell r="O415">
            <v>0</v>
          </cell>
          <cell r="P415">
            <v>0</v>
          </cell>
          <cell r="Q415">
            <v>0</v>
          </cell>
        </row>
        <row r="416">
          <cell r="A416">
            <v>204</v>
          </cell>
          <cell r="B416" t="str">
            <v>31 ـ 13</v>
          </cell>
          <cell r="C416" t="str">
            <v>2017/05/02</v>
          </cell>
          <cell r="D416" t="str">
            <v>مـاي</v>
          </cell>
          <cell r="E416" t="str">
            <v>مرتـب شهـر مـاي 2017 ( صنف المستخدمين أعوان الوقاية ومتعاقدين توقيت كلي و جزئي )</v>
          </cell>
          <cell r="F416">
            <v>11111.25</v>
          </cell>
          <cell r="G416">
            <v>205834.38</v>
          </cell>
          <cell r="H416">
            <v>0</v>
          </cell>
          <cell r="I416">
            <v>0</v>
          </cell>
          <cell r="J416">
            <v>0</v>
          </cell>
          <cell r="K416">
            <v>0</v>
          </cell>
          <cell r="L416">
            <v>0</v>
          </cell>
          <cell r="M416">
            <v>0</v>
          </cell>
          <cell r="N416">
            <v>0</v>
          </cell>
          <cell r="O416">
            <v>0</v>
          </cell>
          <cell r="P416">
            <v>0</v>
          </cell>
          <cell r="Q416">
            <v>0</v>
          </cell>
        </row>
        <row r="417">
          <cell r="A417">
            <v>205</v>
          </cell>
          <cell r="B417" t="str">
            <v>31 ـ 13</v>
          </cell>
          <cell r="C417" t="str">
            <v>2017/05/02</v>
          </cell>
          <cell r="D417" t="str">
            <v>مـاي</v>
          </cell>
          <cell r="E417" t="str">
            <v>مرتـب شهـر مـاي 2017 ( صنف المستخدمين أعوان الوقاية ومتعاقدين توقيت كلي و جزئي )</v>
          </cell>
          <cell r="F417">
            <v>169246.65</v>
          </cell>
          <cell r="G417">
            <v>0</v>
          </cell>
          <cell r="H417">
            <v>0</v>
          </cell>
          <cell r="I417">
            <v>0</v>
          </cell>
          <cell r="J417">
            <v>0</v>
          </cell>
          <cell r="K417">
            <v>0</v>
          </cell>
          <cell r="L417">
            <v>0</v>
          </cell>
          <cell r="M417">
            <v>0</v>
          </cell>
          <cell r="N417">
            <v>0</v>
          </cell>
          <cell r="O417">
            <v>0</v>
          </cell>
          <cell r="P417">
            <v>0</v>
          </cell>
          <cell r="Q417">
            <v>0</v>
          </cell>
        </row>
        <row r="418">
          <cell r="A418">
            <v>205</v>
          </cell>
          <cell r="B418" t="str">
            <v>31 ـ 13</v>
          </cell>
          <cell r="C418" t="str">
            <v>2017/05/02</v>
          </cell>
          <cell r="D418" t="str">
            <v>مـاي</v>
          </cell>
          <cell r="E418" t="str">
            <v>مرتـب شهـر مـاي 2017 ( صنف المستخدمين أعوان الوقاية ومتعاقدين توقيت كلي و جزئي )</v>
          </cell>
          <cell r="F418">
            <v>122332.28</v>
          </cell>
          <cell r="G418">
            <v>0</v>
          </cell>
          <cell r="H418">
            <v>0</v>
          </cell>
          <cell r="I418">
            <v>0</v>
          </cell>
          <cell r="J418">
            <v>0</v>
          </cell>
          <cell r="K418">
            <v>0</v>
          </cell>
          <cell r="L418">
            <v>0</v>
          </cell>
          <cell r="M418">
            <v>0</v>
          </cell>
          <cell r="N418">
            <v>0</v>
          </cell>
          <cell r="O418">
            <v>0</v>
          </cell>
          <cell r="P418">
            <v>0</v>
          </cell>
          <cell r="Q418">
            <v>0</v>
          </cell>
        </row>
        <row r="419">
          <cell r="A419">
            <v>205</v>
          </cell>
          <cell r="B419" t="str">
            <v>31 ـ 13</v>
          </cell>
          <cell r="C419" t="str">
            <v>2017/05/02</v>
          </cell>
          <cell r="D419" t="str">
            <v>مـاي</v>
          </cell>
          <cell r="E419" t="str">
            <v>مرتـب شهـر مـاي 2017 ( صنف المستخدمين أعوان الوقاية ومتعاقدين توقيت كلي و جزئي )</v>
          </cell>
          <cell r="F419">
            <v>15900</v>
          </cell>
          <cell r="G419">
            <v>307478.93</v>
          </cell>
          <cell r="H419">
            <v>0</v>
          </cell>
        </row>
        <row r="420">
          <cell r="A420">
            <v>206</v>
          </cell>
          <cell r="B420" t="str">
            <v>31 ـ 13</v>
          </cell>
          <cell r="C420" t="str">
            <v>2017/05/02</v>
          </cell>
          <cell r="D420" t="str">
            <v>مـاي</v>
          </cell>
          <cell r="E420" t="str">
            <v>مرتـب شهـر مـاي 2017 ( صنف المستخدمين أعوان الوقاية ومتعاقدين توقيت كلي و جزئي )</v>
          </cell>
          <cell r="F420">
            <v>71926.66</v>
          </cell>
          <cell r="H420">
            <v>0</v>
          </cell>
        </row>
        <row r="421">
          <cell r="A421">
            <v>206</v>
          </cell>
          <cell r="B421" t="str">
            <v>31 ـ 13</v>
          </cell>
          <cell r="C421" t="str">
            <v>2017/05/02</v>
          </cell>
          <cell r="D421" t="str">
            <v>مـاي</v>
          </cell>
          <cell r="E421" t="str">
            <v>مرتـب شهـر مـاي 2017 ( صنف المستخدمين أعوان الوقاية ومتعاقدين توقيت كلي و جزئي )</v>
          </cell>
          <cell r="F421">
            <v>46221.15</v>
          </cell>
          <cell r="H421">
            <v>0</v>
          </cell>
        </row>
        <row r="422">
          <cell r="A422">
            <v>206</v>
          </cell>
          <cell r="B422" t="str">
            <v>31 ـ 13</v>
          </cell>
          <cell r="C422" t="str">
            <v>2017/05/02</v>
          </cell>
          <cell r="D422" t="str">
            <v>مـاي</v>
          </cell>
          <cell r="E422" t="str">
            <v>مرتـب شهـر مـاي 2017 ( صنف المستخدمين أعوان الوقاية ومتعاقدين توقيت كلي و جزئي )</v>
          </cell>
          <cell r="F422">
            <v>6200</v>
          </cell>
          <cell r="G422">
            <v>124347.81</v>
          </cell>
          <cell r="H422">
            <v>0</v>
          </cell>
          <cell r="I422">
            <v>0</v>
          </cell>
          <cell r="J422">
            <v>0</v>
          </cell>
          <cell r="K422">
            <v>0</v>
          </cell>
          <cell r="L422">
            <v>0</v>
          </cell>
          <cell r="M422">
            <v>0</v>
          </cell>
          <cell r="N422">
            <v>0</v>
          </cell>
          <cell r="O422">
            <v>0</v>
          </cell>
          <cell r="P422">
            <v>0</v>
          </cell>
          <cell r="Q422">
            <v>0</v>
          </cell>
        </row>
        <row r="423">
          <cell r="A423">
            <v>207</v>
          </cell>
          <cell r="B423" t="str">
            <v>31 ـ 13</v>
          </cell>
          <cell r="C423" t="str">
            <v>2017/05/02</v>
          </cell>
          <cell r="D423" t="str">
            <v>مـاي</v>
          </cell>
          <cell r="E423" t="str">
            <v>مرتـب شهـر مـاي 2017 ( صنف المستخدمين أعوان الوقاية ومتعاقدين توقيت كلي و جزئي )</v>
          </cell>
          <cell r="F423">
            <v>186457.65</v>
          </cell>
          <cell r="G423">
            <v>0</v>
          </cell>
          <cell r="H423">
            <v>0</v>
          </cell>
          <cell r="I423">
            <v>0</v>
          </cell>
          <cell r="J423">
            <v>0</v>
          </cell>
          <cell r="K423">
            <v>0</v>
          </cell>
          <cell r="L423">
            <v>0</v>
          </cell>
          <cell r="M423">
            <v>0</v>
          </cell>
          <cell r="N423">
            <v>0</v>
          </cell>
          <cell r="O423">
            <v>0</v>
          </cell>
          <cell r="P423">
            <v>0</v>
          </cell>
          <cell r="Q423">
            <v>0</v>
          </cell>
        </row>
        <row r="424">
          <cell r="A424">
            <v>207</v>
          </cell>
          <cell r="B424" t="str">
            <v>31 ـ 13</v>
          </cell>
          <cell r="C424" t="str">
            <v>2017/05/02</v>
          </cell>
          <cell r="D424" t="str">
            <v>مـاي</v>
          </cell>
          <cell r="E424" t="str">
            <v>مرتـب شهـر مـاي 2017 ( صنف المستخدمين أعوان الوقاية ومتعاقدين توقيت كلي و جزئي )</v>
          </cell>
          <cell r="F424">
            <v>125721.45</v>
          </cell>
          <cell r="G424">
            <v>0</v>
          </cell>
          <cell r="H424">
            <v>0</v>
          </cell>
          <cell r="I424">
            <v>0</v>
          </cell>
          <cell r="J424">
            <v>0</v>
          </cell>
          <cell r="K424">
            <v>0</v>
          </cell>
          <cell r="L424">
            <v>0</v>
          </cell>
          <cell r="M424">
            <v>0</v>
          </cell>
          <cell r="N424">
            <v>0</v>
          </cell>
          <cell r="O424">
            <v>0</v>
          </cell>
          <cell r="P424">
            <v>0</v>
          </cell>
          <cell r="Q424">
            <v>0</v>
          </cell>
        </row>
        <row r="425">
          <cell r="A425">
            <v>207</v>
          </cell>
          <cell r="B425" t="str">
            <v>31 ـ 13</v>
          </cell>
          <cell r="C425" t="str">
            <v>2017/05/02</v>
          </cell>
          <cell r="D425" t="str">
            <v>مـاي</v>
          </cell>
          <cell r="E425" t="str">
            <v>مرتـب شهـر مـاي 2017 ( صنف المستخدمين أعوان الوقاية ومتعاقدين توقيت كلي و جزئي )</v>
          </cell>
          <cell r="F425">
            <v>16522.5</v>
          </cell>
          <cell r="G425">
            <v>328701.59999999998</v>
          </cell>
          <cell r="H425">
            <v>0</v>
          </cell>
          <cell r="I425">
            <v>0</v>
          </cell>
          <cell r="J425">
            <v>0</v>
          </cell>
          <cell r="K425">
            <v>0</v>
          </cell>
          <cell r="L425">
            <v>0</v>
          </cell>
          <cell r="M425">
            <v>0</v>
          </cell>
          <cell r="N425">
            <v>0</v>
          </cell>
          <cell r="O425">
            <v>0</v>
          </cell>
          <cell r="P425">
            <v>0</v>
          </cell>
          <cell r="Q425">
            <v>0</v>
          </cell>
        </row>
        <row r="426">
          <cell r="A426">
            <v>208</v>
          </cell>
          <cell r="B426" t="str">
            <v>31 ـ 13</v>
          </cell>
          <cell r="C426" t="str">
            <v>2017/05/02</v>
          </cell>
          <cell r="D426" t="str">
            <v>مـاي</v>
          </cell>
          <cell r="E426" t="str">
            <v>مرتـب شهـر مـاي 2017 ( صنف المستخدمين أعوان الوقاية ومتعاقدين توقيت كلي و جزئي )</v>
          </cell>
          <cell r="F426">
            <v>1071756.2</v>
          </cell>
          <cell r="G426">
            <v>0</v>
          </cell>
          <cell r="H426">
            <v>0</v>
          </cell>
          <cell r="I426">
            <v>0</v>
          </cell>
          <cell r="J426">
            <v>0</v>
          </cell>
          <cell r="K426">
            <v>0</v>
          </cell>
          <cell r="L426">
            <v>0</v>
          </cell>
          <cell r="M426">
            <v>0</v>
          </cell>
          <cell r="N426">
            <v>0</v>
          </cell>
          <cell r="O426">
            <v>0</v>
          </cell>
          <cell r="P426">
            <v>0</v>
          </cell>
          <cell r="Q426">
            <v>0</v>
          </cell>
        </row>
        <row r="427">
          <cell r="A427">
            <v>208</v>
          </cell>
          <cell r="B427" t="str">
            <v>31 ـ 13</v>
          </cell>
          <cell r="C427" t="str">
            <v>2017/05/02</v>
          </cell>
          <cell r="D427" t="str">
            <v>مـاي</v>
          </cell>
          <cell r="E427" t="str">
            <v>مرتـب شهـر مـاي 2017 ( صنف المستخدمين أعوان الوقاية ومتعاقدين توقيت كلي و جزئي )</v>
          </cell>
          <cell r="F427">
            <v>784185.5</v>
          </cell>
          <cell r="G427">
            <v>0</v>
          </cell>
          <cell r="H427">
            <v>0</v>
          </cell>
          <cell r="I427">
            <v>0</v>
          </cell>
          <cell r="J427">
            <v>0</v>
          </cell>
          <cell r="K427">
            <v>0</v>
          </cell>
          <cell r="L427">
            <v>0</v>
          </cell>
          <cell r="M427">
            <v>0</v>
          </cell>
          <cell r="N427">
            <v>0</v>
          </cell>
          <cell r="O427">
            <v>0</v>
          </cell>
          <cell r="P427">
            <v>0</v>
          </cell>
          <cell r="Q427">
            <v>0</v>
          </cell>
        </row>
        <row r="428">
          <cell r="A428">
            <v>208</v>
          </cell>
          <cell r="B428" t="str">
            <v>31 ـ 13</v>
          </cell>
          <cell r="C428" t="str">
            <v>2017/05/02</v>
          </cell>
          <cell r="D428" t="str">
            <v>مـاي</v>
          </cell>
          <cell r="E428" t="str">
            <v>مرتـب شهـر مـاي 2017 ( صنف المستخدمين أعوان الوقاية ومتعاقدين توقيت كلي و جزئي )</v>
          </cell>
          <cell r="F428">
            <v>96657.5</v>
          </cell>
          <cell r="G428">
            <v>1952599.2</v>
          </cell>
          <cell r="H428">
            <v>0</v>
          </cell>
          <cell r="I428">
            <v>0</v>
          </cell>
          <cell r="J428">
            <v>0</v>
          </cell>
          <cell r="K428">
            <v>0</v>
          </cell>
          <cell r="L428">
            <v>0</v>
          </cell>
          <cell r="M428">
            <v>0</v>
          </cell>
          <cell r="N428">
            <v>0</v>
          </cell>
          <cell r="O428">
            <v>0</v>
          </cell>
          <cell r="P428">
            <v>0</v>
          </cell>
          <cell r="Q428">
            <v>0</v>
          </cell>
        </row>
        <row r="429">
          <cell r="A429">
            <v>209</v>
          </cell>
          <cell r="B429" t="str">
            <v>31 ـ 13</v>
          </cell>
          <cell r="C429" t="str">
            <v>2017/05/02</v>
          </cell>
          <cell r="D429" t="str">
            <v>مـاي</v>
          </cell>
          <cell r="E429" t="str">
            <v>مرتـب شهـر مـاي 2017 ( صنف المستخدمين أعوان الوقاية ومتعاقدين توقيت كلي و جزئي )</v>
          </cell>
          <cell r="F429">
            <v>46646.05</v>
          </cell>
          <cell r="G429">
            <v>0</v>
          </cell>
          <cell r="H429">
            <v>0</v>
          </cell>
          <cell r="I429">
            <v>0</v>
          </cell>
          <cell r="J429">
            <v>0</v>
          </cell>
          <cell r="K429">
            <v>0</v>
          </cell>
          <cell r="L429">
            <v>0</v>
          </cell>
          <cell r="M429">
            <v>0</v>
          </cell>
          <cell r="N429">
            <v>0</v>
          </cell>
          <cell r="O429">
            <v>0</v>
          </cell>
          <cell r="P429">
            <v>0</v>
          </cell>
          <cell r="Q429">
            <v>0</v>
          </cell>
        </row>
        <row r="430">
          <cell r="A430">
            <v>209</v>
          </cell>
          <cell r="B430" t="str">
            <v>31 ـ 13</v>
          </cell>
          <cell r="C430" t="str">
            <v>2017/05/02</v>
          </cell>
          <cell r="D430" t="str">
            <v>مـاي</v>
          </cell>
          <cell r="E430" t="str">
            <v>مرتـب شهـر مـاي 2017 ( صنف المستخدمين أعوان الوقاية ومتعاقدين توقيت كلي و جزئي )</v>
          </cell>
          <cell r="F430">
            <v>34439.019999999997</v>
          </cell>
          <cell r="G430">
            <v>0</v>
          </cell>
          <cell r="H430">
            <v>0</v>
          </cell>
          <cell r="I430">
            <v>0</v>
          </cell>
          <cell r="J430">
            <v>0</v>
          </cell>
          <cell r="K430">
            <v>0</v>
          </cell>
          <cell r="L430">
            <v>0</v>
          </cell>
          <cell r="M430">
            <v>0</v>
          </cell>
          <cell r="N430">
            <v>0</v>
          </cell>
          <cell r="O430">
            <v>0</v>
          </cell>
          <cell r="P430">
            <v>0</v>
          </cell>
          <cell r="Q430">
            <v>0</v>
          </cell>
        </row>
        <row r="431">
          <cell r="A431">
            <v>209</v>
          </cell>
          <cell r="B431" t="str">
            <v>31 ـ 13</v>
          </cell>
          <cell r="C431" t="str">
            <v>2017/05/02</v>
          </cell>
          <cell r="D431" t="str">
            <v>مـاي</v>
          </cell>
          <cell r="E431" t="str">
            <v>مرتـب شهـر مـاي 2017 ( صنف المستخدمين أعوان الوقاية ومتعاقدين توقيت كلي و جزئي )</v>
          </cell>
          <cell r="F431">
            <v>4300</v>
          </cell>
          <cell r="G431">
            <v>85385.07</v>
          </cell>
          <cell r="H431">
            <v>0</v>
          </cell>
        </row>
        <row r="432">
          <cell r="A432">
            <v>210</v>
          </cell>
          <cell r="B432" t="str">
            <v>31 ـ 13</v>
          </cell>
          <cell r="C432" t="str">
            <v>2017/05/02</v>
          </cell>
          <cell r="D432" t="str">
            <v>مـاي</v>
          </cell>
          <cell r="E432" t="str">
            <v>مرتـب شهـر مـاي 2017 ( صنف المستخدمين توقيت جزئي )</v>
          </cell>
          <cell r="F432">
            <v>40311.269999999997</v>
          </cell>
          <cell r="G432">
            <v>0</v>
          </cell>
          <cell r="H432">
            <v>0</v>
          </cell>
        </row>
        <row r="433">
          <cell r="A433">
            <v>210</v>
          </cell>
          <cell r="B433" t="str">
            <v>31 ـ 13</v>
          </cell>
          <cell r="C433" t="str">
            <v>2017/05/02</v>
          </cell>
          <cell r="D433" t="str">
            <v>مـاي</v>
          </cell>
          <cell r="E433" t="str">
            <v>مرتـب شهـر مـاي 2017 ( صنف المستخدمين توقيت جزئي )</v>
          </cell>
          <cell r="F433">
            <v>35115.11</v>
          </cell>
          <cell r="G433">
            <v>0</v>
          </cell>
          <cell r="H433">
            <v>0</v>
          </cell>
        </row>
        <row r="434">
          <cell r="A434">
            <v>210</v>
          </cell>
          <cell r="B434" t="str">
            <v>31 ـ 13</v>
          </cell>
          <cell r="C434" t="str">
            <v>2017/05/02</v>
          </cell>
          <cell r="D434" t="str">
            <v>مـاي</v>
          </cell>
          <cell r="E434" t="str">
            <v>مرتـب شهـر مـاي 2017 ( صنف المستخدمين توقيت جزئي )</v>
          </cell>
          <cell r="F434">
            <v>2811.25</v>
          </cell>
          <cell r="G434">
            <v>78237.63</v>
          </cell>
          <cell r="H434">
            <v>0</v>
          </cell>
          <cell r="I434">
            <v>0</v>
          </cell>
          <cell r="J434">
            <v>0</v>
          </cell>
          <cell r="K434">
            <v>0</v>
          </cell>
          <cell r="L434">
            <v>0</v>
          </cell>
          <cell r="M434">
            <v>0</v>
          </cell>
          <cell r="N434">
            <v>0</v>
          </cell>
          <cell r="O434">
            <v>0</v>
          </cell>
          <cell r="P434">
            <v>0</v>
          </cell>
          <cell r="Q434">
            <v>0</v>
          </cell>
        </row>
        <row r="435">
          <cell r="A435">
            <v>211</v>
          </cell>
          <cell r="B435" t="str">
            <v>31 ـ 13</v>
          </cell>
          <cell r="C435" t="str">
            <v>2017/05/02</v>
          </cell>
          <cell r="D435" t="str">
            <v>مـاي</v>
          </cell>
          <cell r="E435" t="str">
            <v>مرتـب شهـر مـاي 2017 ( صنف المستخدمين توقيت جزئي )</v>
          </cell>
          <cell r="F435">
            <v>147486.14000000001</v>
          </cell>
          <cell r="G435">
            <v>0</v>
          </cell>
          <cell r="H435">
            <v>0</v>
          </cell>
          <cell r="I435">
            <v>0</v>
          </cell>
          <cell r="J435">
            <v>0</v>
          </cell>
          <cell r="K435">
            <v>0</v>
          </cell>
          <cell r="L435">
            <v>0</v>
          </cell>
          <cell r="M435">
            <v>0</v>
          </cell>
          <cell r="N435">
            <v>0</v>
          </cell>
          <cell r="O435">
            <v>0</v>
          </cell>
          <cell r="P435">
            <v>0</v>
          </cell>
          <cell r="Q435">
            <v>0</v>
          </cell>
        </row>
        <row r="436">
          <cell r="A436">
            <v>211</v>
          </cell>
          <cell r="B436" t="str">
            <v>31 ـ 13</v>
          </cell>
          <cell r="C436" t="str">
            <v>2017/05/02</v>
          </cell>
          <cell r="D436" t="str">
            <v>مـاي</v>
          </cell>
          <cell r="E436" t="str">
            <v>مرتـب شهـر مـاي 2017 ( صنف المستخدمين توقيت جزئي )</v>
          </cell>
          <cell r="F436">
            <v>127369.8</v>
          </cell>
          <cell r="G436">
            <v>0</v>
          </cell>
          <cell r="H436">
            <v>0</v>
          </cell>
          <cell r="I436">
            <v>0</v>
          </cell>
          <cell r="J436">
            <v>0</v>
          </cell>
          <cell r="K436">
            <v>0</v>
          </cell>
          <cell r="L436">
            <v>0</v>
          </cell>
          <cell r="M436">
            <v>0</v>
          </cell>
          <cell r="N436">
            <v>0</v>
          </cell>
          <cell r="O436">
            <v>0</v>
          </cell>
          <cell r="P436">
            <v>0</v>
          </cell>
          <cell r="Q436">
            <v>0</v>
          </cell>
        </row>
        <row r="437">
          <cell r="A437">
            <v>211</v>
          </cell>
          <cell r="B437" t="str">
            <v>31 ـ 13</v>
          </cell>
          <cell r="C437" t="str">
            <v>2017/05/02</v>
          </cell>
          <cell r="D437" t="str">
            <v>مـاي</v>
          </cell>
          <cell r="E437" t="str">
            <v>مرتـب شهـر مـاي 2017 ( صنف المستخدمين توقيت جزئي )</v>
          </cell>
          <cell r="F437">
            <v>9833.75</v>
          </cell>
          <cell r="G437">
            <v>284689.69</v>
          </cell>
          <cell r="H437">
            <v>0</v>
          </cell>
          <cell r="I437">
            <v>0</v>
          </cell>
          <cell r="J437">
            <v>0</v>
          </cell>
          <cell r="K437">
            <v>0</v>
          </cell>
          <cell r="L437">
            <v>0</v>
          </cell>
          <cell r="M437">
            <v>0</v>
          </cell>
          <cell r="N437">
            <v>0</v>
          </cell>
          <cell r="O437">
            <v>0</v>
          </cell>
          <cell r="P437">
            <v>0</v>
          </cell>
          <cell r="Q437">
            <v>0</v>
          </cell>
        </row>
        <row r="438">
          <cell r="A438">
            <v>212</v>
          </cell>
          <cell r="B438" t="str">
            <v>31 ـ 13</v>
          </cell>
          <cell r="C438" t="str">
            <v>2017/05/02</v>
          </cell>
          <cell r="D438" t="str">
            <v>مـاي</v>
          </cell>
          <cell r="E438" t="str">
            <v>مرتـب شهـر مـاي 2017 ( صنف المستخدمين متعاقدين عقد غير محدد المدة توقيت 05 سا و 08 سا )</v>
          </cell>
          <cell r="F438">
            <v>800984.52</v>
          </cell>
          <cell r="H438">
            <v>0</v>
          </cell>
          <cell r="I438">
            <v>0</v>
          </cell>
          <cell r="J438">
            <v>0</v>
          </cell>
          <cell r="K438">
            <v>0</v>
          </cell>
          <cell r="L438">
            <v>0</v>
          </cell>
          <cell r="M438">
            <v>0</v>
          </cell>
          <cell r="N438">
            <v>0</v>
          </cell>
          <cell r="O438">
            <v>0</v>
          </cell>
          <cell r="P438">
            <v>0</v>
          </cell>
          <cell r="Q438">
            <v>0</v>
          </cell>
        </row>
        <row r="442">
          <cell r="A442">
            <v>216</v>
          </cell>
          <cell r="B442" t="str">
            <v>32 ـ 12</v>
          </cell>
          <cell r="C442" t="str">
            <v>2017/05/15</v>
          </cell>
          <cell r="D442" t="str">
            <v>مـاي</v>
          </cell>
          <cell r="E442" t="str">
            <v>مرتـب شهـر أفـريل 2017 ( صنف المستخدمين ضحايا الإرهاب )</v>
          </cell>
          <cell r="F442">
            <v>1614288.16</v>
          </cell>
          <cell r="G442">
            <v>0</v>
          </cell>
          <cell r="H442">
            <v>0</v>
          </cell>
          <cell r="I442">
            <v>0</v>
          </cell>
          <cell r="J442">
            <v>0</v>
          </cell>
          <cell r="K442">
            <v>0</v>
          </cell>
          <cell r="L442">
            <v>0</v>
          </cell>
          <cell r="M442">
            <v>0</v>
          </cell>
          <cell r="N442">
            <v>0</v>
          </cell>
          <cell r="O442">
            <v>0</v>
          </cell>
          <cell r="P442">
            <v>0</v>
          </cell>
          <cell r="Q442">
            <v>0</v>
          </cell>
        </row>
        <row r="443">
          <cell r="A443">
            <v>217</v>
          </cell>
          <cell r="B443" t="str">
            <v>32 ـ 12</v>
          </cell>
          <cell r="C443" t="str">
            <v>2017/05/15</v>
          </cell>
          <cell r="D443" t="str">
            <v>مـاي</v>
          </cell>
          <cell r="E443" t="str">
            <v>مرتـب شهـر أفـريل 2017 ( صنف المستخدمين ضحايا الإرهاب )</v>
          </cell>
          <cell r="F443">
            <v>247812.37</v>
          </cell>
          <cell r="G443">
            <v>0</v>
          </cell>
          <cell r="H443">
            <v>0</v>
          </cell>
          <cell r="I443">
            <v>0</v>
          </cell>
          <cell r="J443">
            <v>0</v>
          </cell>
          <cell r="K443">
            <v>0</v>
          </cell>
          <cell r="L443">
            <v>0</v>
          </cell>
          <cell r="M443">
            <v>0</v>
          </cell>
          <cell r="N443">
            <v>0</v>
          </cell>
          <cell r="O443">
            <v>0</v>
          </cell>
          <cell r="P443">
            <v>0</v>
          </cell>
          <cell r="Q443">
            <v>0</v>
          </cell>
        </row>
        <row r="444">
          <cell r="A444">
            <v>218</v>
          </cell>
          <cell r="B444" t="str">
            <v>32 ـ 12</v>
          </cell>
          <cell r="C444" t="str">
            <v>2017/05/15</v>
          </cell>
          <cell r="D444" t="str">
            <v>مـاي</v>
          </cell>
          <cell r="E444" t="str">
            <v>مرتـب شهـر أفـريل 2017 ( صنف المستخدمين ضحايا الإرهاب )</v>
          </cell>
          <cell r="F444">
            <v>46394.48</v>
          </cell>
          <cell r="G444">
            <v>1908495.0099999998</v>
          </cell>
          <cell r="H444">
            <v>0</v>
          </cell>
          <cell r="I444">
            <v>0</v>
          </cell>
          <cell r="J444">
            <v>0</v>
          </cell>
          <cell r="K444">
            <v>0</v>
          </cell>
          <cell r="L444">
            <v>0</v>
          </cell>
          <cell r="M444">
            <v>0</v>
          </cell>
          <cell r="N444">
            <v>0</v>
          </cell>
          <cell r="O444">
            <v>0</v>
          </cell>
          <cell r="P444">
            <v>0</v>
          </cell>
          <cell r="Q444">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العمليات المقبولة"/>
      <sheetName val="data"/>
      <sheetName val="anxe1"/>
      <sheetName val="annxe2"/>
      <sheetName val="BOURD"/>
      <sheetName val="Sheet4"/>
      <sheetName val="Sheet5"/>
    </sheetNames>
    <sheetDataSet>
      <sheetData sheetId="0">
        <row r="7">
          <cell r="F7" t="str">
            <v>مراقبة و انجاز شبكة المياه الصالحة للشرب بحي الشعبة الحمراء الشطر 02</v>
          </cell>
          <cell r="G7" t="str">
            <v>الموارد المائية</v>
          </cell>
          <cell r="H7">
            <v>8200000</v>
          </cell>
          <cell r="J7" t="str">
            <v>الري</v>
          </cell>
        </row>
        <row r="8">
          <cell r="F8" t="str">
            <v xml:space="preserve">مراقبة و انجاز و تجديد قناة جلب المياه الصالحة للشرب بمزرعة بلقبي </v>
          </cell>
          <cell r="G8" t="str">
            <v>الموارد المائية</v>
          </cell>
          <cell r="H8">
            <v>3075000</v>
          </cell>
          <cell r="J8" t="str">
            <v>الري</v>
          </cell>
        </row>
        <row r="9">
          <cell r="F9" t="str">
            <v xml:space="preserve">دراسة و انجاز قسمين دراسيين بمدرسة حجاب لهول </v>
          </cell>
          <cell r="G9" t="str">
            <v>التربية</v>
          </cell>
          <cell r="H9">
            <v>9000000</v>
          </cell>
          <cell r="J9" t="str">
            <v>البناء</v>
          </cell>
        </row>
        <row r="10">
          <cell r="F10" t="str">
            <v>دراسة و انجاز قسمين دراسيين بمدرسة ولهة علي</v>
          </cell>
          <cell r="G10" t="str">
            <v>التربية</v>
          </cell>
          <cell r="H10">
            <v>9000000</v>
          </cell>
          <cell r="J10" t="str">
            <v>البناء</v>
          </cell>
        </row>
        <row r="11">
          <cell r="F11" t="str">
            <v>دراسة و انجاز قسم دراسي بمدرسة بوضريسة عبد المجيد</v>
          </cell>
          <cell r="G11" t="str">
            <v>التربية</v>
          </cell>
          <cell r="H11">
            <v>4500000</v>
          </cell>
          <cell r="J11" t="str">
            <v>البناء</v>
          </cell>
        </row>
        <row r="12">
          <cell r="F12" t="str">
            <v xml:space="preserve">اعادة تاهيل مدرسة بركة رمصان بالحصن </v>
          </cell>
          <cell r="G12" t="str">
            <v>التربية</v>
          </cell>
          <cell r="H12">
            <v>4000000</v>
          </cell>
          <cell r="J12" t="str">
            <v>البناء</v>
          </cell>
        </row>
        <row r="13">
          <cell r="F13" t="str">
            <v>مراقبة و دراسة شبكة الصرف الصحي بالاحياء سد القصب، بوخميسة، اولاد سلامة، اولاد بديرة ، شايب ربي ، المشتلة، نوارة .</v>
          </cell>
          <cell r="G13" t="str">
            <v>الموارد المائية</v>
          </cell>
          <cell r="H13">
            <v>3125000</v>
          </cell>
          <cell r="J13" t="str">
            <v>الري</v>
          </cell>
        </row>
        <row r="14">
          <cell r="F14" t="str">
            <v>انجاز الانارة العمومية بنظام LED من مقر البلدية الى غاية محور الدوران حي 270 مسكن .</v>
          </cell>
          <cell r="G14" t="str">
            <v>التهيئة والتعمير</v>
          </cell>
          <cell r="H14">
            <v>6000000</v>
          </cell>
          <cell r="J14" t="str">
            <v>التهيئة</v>
          </cell>
        </row>
        <row r="15">
          <cell r="F15" t="str">
            <v>اعادة تاهيل الانارة العمومية  بنظام LED من جسر ذراع الحاجة   الى غاية حي اشبيليا و حي 608 مسكن .</v>
          </cell>
          <cell r="G15" t="str">
            <v>التهيئة والتعمير</v>
          </cell>
          <cell r="H15">
            <v>6000000</v>
          </cell>
          <cell r="J15" t="str">
            <v>التهيئة</v>
          </cell>
        </row>
        <row r="16">
          <cell r="F16" t="str">
            <v xml:space="preserve">تهيئة الساحات التالية : المجاورة للفضاء التجاري بن الطبي و الساحة المجاورة لمطاحن الحضنة </v>
          </cell>
          <cell r="G16" t="str">
            <v>التهيئة والتعمير</v>
          </cell>
          <cell r="H16">
            <v>3000000</v>
          </cell>
          <cell r="J16" t="str">
            <v>التهيئة</v>
          </cell>
        </row>
        <row r="17">
          <cell r="F17">
            <v>10</v>
          </cell>
          <cell r="H17">
            <v>55900000</v>
          </cell>
        </row>
        <row r="18">
          <cell r="F18">
            <v>10</v>
          </cell>
          <cell r="H18">
            <v>55900000</v>
          </cell>
        </row>
        <row r="19">
          <cell r="F19" t="str">
            <v>انجاز طريق بقرية عليليقة الشطر الأول</v>
          </cell>
          <cell r="G19" t="str">
            <v>الاشغال العمومية</v>
          </cell>
          <cell r="H19">
            <v>10000000</v>
          </cell>
          <cell r="J19" t="str">
            <v>الطرق</v>
          </cell>
        </row>
        <row r="20">
          <cell r="F20" t="str">
            <v>انجاز طريق بقرية النعيجات</v>
          </cell>
          <cell r="G20" t="str">
            <v>الاشغال العمومية</v>
          </cell>
          <cell r="H20">
            <v>7000000</v>
          </cell>
          <cell r="J20" t="str">
            <v>الطرق</v>
          </cell>
        </row>
        <row r="21">
          <cell r="F21" t="str">
            <v>تعبيد طريق بحي الحوران امام المدرسة الابتدائية لطرش الطاهر</v>
          </cell>
          <cell r="G21" t="str">
            <v>الاشغال العمومية</v>
          </cell>
          <cell r="H21">
            <v>5000000</v>
          </cell>
          <cell r="J21" t="str">
            <v>الطرق</v>
          </cell>
        </row>
        <row r="22">
          <cell r="F22" t="str">
            <v xml:space="preserve">تعبيد الطرق بحي الضلعة </v>
          </cell>
          <cell r="G22" t="str">
            <v>الاشغال العمومية</v>
          </cell>
          <cell r="H22">
            <v>6000000</v>
          </cell>
          <cell r="J22" t="str">
            <v>الطرق</v>
          </cell>
        </row>
        <row r="23">
          <cell r="F23" t="str">
            <v>ترميم المدرسة الابتدائية بقرية عين الجراد</v>
          </cell>
          <cell r="G23" t="str">
            <v>التربية</v>
          </cell>
          <cell r="H23">
            <v>5000000</v>
          </cell>
          <cell r="J23" t="str">
            <v>البناء</v>
          </cell>
        </row>
        <row r="24">
          <cell r="F24" t="str">
            <v>إنجاز طريق الربيب (الكدية الكحلة)</v>
          </cell>
          <cell r="G24" t="str">
            <v>الاشغال العمومية</v>
          </cell>
          <cell r="H24">
            <v>5000000</v>
          </cell>
          <cell r="J24" t="str">
            <v>الطرق</v>
          </cell>
        </row>
        <row r="25">
          <cell r="F25" t="str">
            <v xml:space="preserve">تعبيد طريق بحي الحوران </v>
          </cell>
          <cell r="G25" t="str">
            <v>الاشغال العمومية</v>
          </cell>
          <cell r="H25">
            <v>5000000</v>
          </cell>
          <cell r="J25" t="str">
            <v>الطرق</v>
          </cell>
        </row>
        <row r="26">
          <cell r="F26" t="str">
            <v>دراسة و انجاز شبكة الصرف الصحي بقرية المطاق الشطر الاول</v>
          </cell>
          <cell r="G26" t="str">
            <v>الموارد المائية</v>
          </cell>
          <cell r="H26">
            <v>12000000</v>
          </cell>
          <cell r="J26" t="str">
            <v>الري</v>
          </cell>
        </row>
        <row r="27">
          <cell r="F27" t="str">
            <v>تكملة انجاز شبكة الصرف الصحي لقرية القرف</v>
          </cell>
          <cell r="G27" t="str">
            <v>الموارد المائية</v>
          </cell>
          <cell r="H27">
            <v>25000000</v>
          </cell>
          <cell r="J27" t="str">
            <v>الري</v>
          </cell>
        </row>
        <row r="28">
          <cell r="F28">
            <v>9</v>
          </cell>
          <cell r="H28">
            <v>80000000</v>
          </cell>
        </row>
        <row r="29">
          <cell r="F29" t="str">
            <v xml:space="preserve">توسيع شبكة الصرف الصحي بحي الحضنة </v>
          </cell>
          <cell r="G29" t="str">
            <v>الموارد المائية</v>
          </cell>
          <cell r="H29">
            <v>8000000</v>
          </cell>
          <cell r="J29" t="str">
            <v>الري</v>
          </cell>
        </row>
        <row r="30">
          <cell r="F30" t="str">
            <v xml:space="preserve">    تجديد و توسيع شبكة المياه الصالحة للشرب عبر أحياء و قرى البلدية</v>
          </cell>
          <cell r="G30" t="str">
            <v>الموارد المائية</v>
          </cell>
          <cell r="H30">
            <v>10000000</v>
          </cell>
          <cell r="J30" t="str">
            <v>الري</v>
          </cell>
        </row>
        <row r="31">
          <cell r="F31" t="str">
            <v>تعبيد طريق السلالوة بتارمونت</v>
          </cell>
          <cell r="G31" t="str">
            <v>الاشغال العمومية</v>
          </cell>
          <cell r="H31">
            <v>4000000</v>
          </cell>
          <cell r="J31" t="str">
            <v>الطرق</v>
          </cell>
        </row>
        <row r="32">
          <cell r="F32" t="str">
            <v>توسيع شبكة الصرف الصحي لأحياء ام الشواشي</v>
          </cell>
          <cell r="G32" t="str">
            <v>الموارد المائية</v>
          </cell>
          <cell r="H32">
            <v>11000000</v>
          </cell>
          <cell r="J32" t="str">
            <v>الري</v>
          </cell>
        </row>
        <row r="33">
          <cell r="F33" t="str">
            <v xml:space="preserve">إنجاز  طريق الجزيرة بحي البساتين </v>
          </cell>
          <cell r="G33" t="str">
            <v>الاشغال العمومية</v>
          </cell>
          <cell r="H33">
            <v>7000000</v>
          </cell>
          <cell r="J33" t="str">
            <v>الطرق</v>
          </cell>
        </row>
        <row r="34">
          <cell r="F34" t="str">
            <v>إنجاز  طريق أولاد خليفة - طريق المصلى -</v>
          </cell>
          <cell r="G34" t="str">
            <v>الاشغال العمومية</v>
          </cell>
          <cell r="H34">
            <v>5000000</v>
          </cell>
          <cell r="J34" t="str">
            <v>الطرق</v>
          </cell>
        </row>
        <row r="35">
          <cell r="F35" t="str">
            <v>حفر و تجهيز و كهربة بئريين ببلدية تارمونت بمنطقتي بئر الحلو و البرازقية (حصة الحفر )</v>
          </cell>
          <cell r="G35" t="str">
            <v>الموارد المائية</v>
          </cell>
          <cell r="H35">
            <v>50000000</v>
          </cell>
          <cell r="I35" t="str">
            <v>تبليغ بدون غلاف مالي</v>
          </cell>
          <cell r="J35" t="str">
            <v>الري</v>
          </cell>
        </row>
        <row r="36">
          <cell r="F36">
            <v>7</v>
          </cell>
          <cell r="H36">
            <v>95000000</v>
          </cell>
        </row>
        <row r="37">
          <cell r="F37" t="str">
            <v>تعبيد طريق الثانوية الجديدة</v>
          </cell>
          <cell r="G37" t="str">
            <v>الاشغال العمومية</v>
          </cell>
          <cell r="H37">
            <v>9000000</v>
          </cell>
          <cell r="J37" t="str">
            <v>الطرق</v>
          </cell>
        </row>
        <row r="38">
          <cell r="F38" t="str">
            <v>دراسة و متابعة و انجاز طريق الخروبة</v>
          </cell>
          <cell r="G38" t="str">
            <v>الاشغال العمومية</v>
          </cell>
          <cell r="H38">
            <v>7500000</v>
          </cell>
          <cell r="J38" t="str">
            <v>الطرق</v>
          </cell>
        </row>
        <row r="39">
          <cell r="F39" t="str">
            <v xml:space="preserve"> تعبيد طريق اولاد مسلم</v>
          </cell>
          <cell r="G39" t="str">
            <v>الاشغال العمومية</v>
          </cell>
          <cell r="H39">
            <v>7500000</v>
          </cell>
          <cell r="J39" t="str">
            <v>الطرق</v>
          </cell>
        </row>
        <row r="40">
          <cell r="F40" t="str">
            <v xml:space="preserve"> تعبيد الطرق  بحي الملعب بأهل الواد</v>
          </cell>
          <cell r="G40" t="str">
            <v>الاشغال العمومية</v>
          </cell>
          <cell r="H40">
            <v>9000000</v>
          </cell>
          <cell r="J40" t="str">
            <v>الطرق</v>
          </cell>
        </row>
        <row r="41">
          <cell r="F41" t="str">
            <v xml:space="preserve"> انجاز طريق البهاليل بقرية سيدي عيسى  </v>
          </cell>
          <cell r="G41" t="str">
            <v>الاشغال العمومية</v>
          </cell>
          <cell r="H41">
            <v>5000000</v>
          </cell>
          <cell r="J41" t="str">
            <v>الطرق</v>
          </cell>
        </row>
        <row r="42">
          <cell r="F42" t="str">
            <v xml:space="preserve">تعبيد طريق ملوزة وسط - قرملان </v>
          </cell>
          <cell r="G42" t="str">
            <v>الاشغال العمومية</v>
          </cell>
          <cell r="H42">
            <v>7000000</v>
          </cell>
          <cell r="J42" t="str">
            <v>الطرق</v>
          </cell>
        </row>
        <row r="43">
          <cell r="F43" t="str">
            <v>دراسة و متابعة و انجاز  لتحويل مشروع  10 محلات تجارية (ط+1) الى قاعة اجتماعات طابق ارضي + قسمين دراسيين الطابق العلوي و سور الاحاطة بمدرسة شريفي معمر بلدية و نوغة</v>
          </cell>
          <cell r="G43" t="str">
            <v>التربية</v>
          </cell>
          <cell r="H43">
            <v>14900000</v>
          </cell>
          <cell r="I43" t="str">
            <v>تبليغ</v>
          </cell>
          <cell r="J43" t="str">
            <v>البناء</v>
          </cell>
        </row>
        <row r="44">
          <cell r="F44">
            <v>7</v>
          </cell>
          <cell r="H44">
            <v>59900000</v>
          </cell>
        </row>
        <row r="45">
          <cell r="F45" t="str">
            <v>متابعة و إنجاز و إعادة تأهيل شبكة الصرف الصحي عبر أحياء و قرى بلدية أولاد منصور</v>
          </cell>
          <cell r="G45" t="str">
            <v>الموارد المائية</v>
          </cell>
          <cell r="H45">
            <v>15000000</v>
          </cell>
          <cell r="J45" t="str">
            <v>الري</v>
          </cell>
        </row>
        <row r="46">
          <cell r="F46" t="str">
            <v xml:space="preserve">انجاز طريق اولاد الحالس </v>
          </cell>
          <cell r="G46" t="str">
            <v>الاشغال العمومية</v>
          </cell>
          <cell r="H46">
            <v>11000000</v>
          </cell>
          <cell r="J46" t="str">
            <v>الطرق</v>
          </cell>
        </row>
        <row r="47">
          <cell r="F47" t="str">
            <v xml:space="preserve"> تعبيد الطرق بقرية لقمان   - شطر1 </v>
          </cell>
          <cell r="G47" t="str">
            <v>الاشغال العمومية</v>
          </cell>
          <cell r="H47">
            <v>11000000</v>
          </cell>
          <cell r="J47" t="str">
            <v>الطرق</v>
          </cell>
        </row>
        <row r="48">
          <cell r="F48" t="str">
            <v>انجاز طريق بقرية فركوسة امقران - شطر1</v>
          </cell>
          <cell r="G48" t="str">
            <v>الاشغال العمومية</v>
          </cell>
          <cell r="H48">
            <v>8000000</v>
          </cell>
          <cell r="J48" t="str">
            <v>الطرق</v>
          </cell>
        </row>
        <row r="49">
          <cell r="F49" t="str">
            <v xml:space="preserve"> ربط  البئر التعويضي  لتزويد مناطق الظل (مشتة فاقس  اولاد الحالس ، بولسان) بالمياه الصالحة للشرب  </v>
          </cell>
          <cell r="G49" t="str">
            <v>الموارد المائية</v>
          </cell>
          <cell r="H49">
            <v>6000000</v>
          </cell>
          <cell r="J49" t="str">
            <v>الري</v>
          </cell>
        </row>
        <row r="50">
          <cell r="F50">
            <v>5</v>
          </cell>
          <cell r="H50">
            <v>51000000</v>
          </cell>
        </row>
        <row r="51">
          <cell r="F51">
            <v>28</v>
          </cell>
          <cell r="H51">
            <v>285900000</v>
          </cell>
        </row>
        <row r="52">
          <cell r="F52" t="str">
            <v>دراسة ومتابعة وانجاز مطعم 200 وجبة بمدرسة المجاهد سعادة سعادة</v>
          </cell>
          <cell r="G52" t="str">
            <v>التربية</v>
          </cell>
          <cell r="H52">
            <v>12000000</v>
          </cell>
          <cell r="J52" t="str">
            <v>البناء</v>
          </cell>
        </row>
        <row r="53">
          <cell r="F53" t="str">
            <v>متابعة وإعادة تاهيل طريق عرابة باتجاه مقبرة بن معتوق على مسافة 1,8 كلم</v>
          </cell>
          <cell r="G53" t="str">
            <v>الاشغال العمومية</v>
          </cell>
          <cell r="H53">
            <v>18000000</v>
          </cell>
          <cell r="J53" t="str">
            <v>الطرق</v>
          </cell>
        </row>
        <row r="54">
          <cell r="F54" t="str">
            <v>دراسة ومتابعة وانجاز قسم دراسي بمدرسة الشهيد كشرود الطاهر – اولاد بن صوشة</v>
          </cell>
          <cell r="G54" t="str">
            <v>التربية</v>
          </cell>
          <cell r="H54">
            <v>3000000</v>
          </cell>
          <cell r="J54" t="str">
            <v>البناء</v>
          </cell>
        </row>
        <row r="55">
          <cell r="F55" t="str">
            <v>دراسة ومتابعة وإنجاز قسم بمدرسة الشهيد حماش السعيد</v>
          </cell>
          <cell r="G55" t="str">
            <v>التربية</v>
          </cell>
          <cell r="H55">
            <v>3000000</v>
          </cell>
          <cell r="J55" t="str">
            <v>البناء</v>
          </cell>
        </row>
        <row r="56">
          <cell r="F56" t="str">
            <v>دراسة ومتابعة وإنجاز قسم بمدرسة الشهيد العقيد عميروش</v>
          </cell>
          <cell r="G56" t="str">
            <v>التربية</v>
          </cell>
          <cell r="H56">
            <v>3000000</v>
          </cell>
          <cell r="J56" t="str">
            <v>البناء</v>
          </cell>
        </row>
        <row r="57">
          <cell r="F57" t="str">
            <v>دراسة ومتابعة وإنجاز قسم بالمجمع المدررسي عبد الحميد بن باديس</v>
          </cell>
          <cell r="G57" t="str">
            <v>التربية</v>
          </cell>
          <cell r="H57">
            <v>3000000</v>
          </cell>
          <cell r="J57" t="str">
            <v>البناء</v>
          </cell>
        </row>
        <row r="58">
          <cell r="F58" t="str">
            <v>دراسة ومتابعة وإنجاز قسم بمدرسة الشهيد ساسي محمد</v>
          </cell>
          <cell r="G58" t="str">
            <v>التربية</v>
          </cell>
          <cell r="H58">
            <v>3000000</v>
          </cell>
          <cell r="J58" t="str">
            <v>البناء</v>
          </cell>
        </row>
        <row r="59">
          <cell r="F59" t="str">
            <v xml:space="preserve">انجاز مسلك ريفي على مسافة 08 كلم عبر قرى : البراكتية - الشعابينة- الدولاني -الخربة </v>
          </cell>
          <cell r="G59" t="str">
            <v>الفلاحة</v>
          </cell>
          <cell r="H59">
            <v>8000000</v>
          </cell>
          <cell r="J59" t="str">
            <v>الطرق</v>
          </cell>
        </row>
        <row r="60">
          <cell r="F60" t="str">
            <v>متابعة وتوسيع شبكة المياه الصالحة للشرب عبر المناطق التالية : الديالم - لويفي - الحمامشة- حي 147 مسكن</v>
          </cell>
          <cell r="G60" t="str">
            <v>الموارد المائية</v>
          </cell>
          <cell r="H60">
            <v>3500000</v>
          </cell>
          <cell r="J60" t="str">
            <v>الري</v>
          </cell>
        </row>
        <row r="61">
          <cell r="F61" t="str">
            <v xml:space="preserve">متابعةو اعادة تأهيل طريق بالول القديمة على مسافة 1,1 كلم </v>
          </cell>
          <cell r="G61" t="str">
            <v>الاشغال العمومية</v>
          </cell>
          <cell r="H61">
            <v>15000000</v>
          </cell>
          <cell r="J61" t="str">
            <v>الطرق</v>
          </cell>
        </row>
        <row r="62">
          <cell r="F62">
            <v>10</v>
          </cell>
          <cell r="H62">
            <v>71500000</v>
          </cell>
        </row>
        <row r="63">
          <cell r="F63" t="str">
            <v>متابعة وتمديد شبكة الصرف الصحي بالزيتون مصب الجهة الغربية</v>
          </cell>
          <cell r="G63" t="str">
            <v>الموارد المائية</v>
          </cell>
          <cell r="H63">
            <v>5000000</v>
          </cell>
          <cell r="J63" t="str">
            <v>الري</v>
          </cell>
        </row>
        <row r="64">
          <cell r="F64" t="str">
            <v xml:space="preserve">متابعة وتوسيع شبكة الصرف الصحي جنوب شرق التجزئة الترابية 80 قطعة - الشطر الثاني- </v>
          </cell>
          <cell r="G64" t="str">
            <v>الموارد المائية</v>
          </cell>
          <cell r="H64">
            <v>5000000</v>
          </cell>
          <cell r="J64" t="str">
            <v>الري</v>
          </cell>
        </row>
        <row r="65">
          <cell r="F65" t="str">
            <v xml:space="preserve"> متابعة و ربط شبكة المياه الصالحة للشرب قرية البويرة انطلاقا من رشانة </v>
          </cell>
          <cell r="G65" t="str">
            <v>الموارد المائية</v>
          </cell>
          <cell r="H65">
            <v>5000000</v>
          </cell>
          <cell r="J65" t="str">
            <v>الري</v>
          </cell>
        </row>
        <row r="66">
          <cell r="F66" t="str">
            <v xml:space="preserve">مراقبة و دراسة ومتابعة وإنجاز خزان نصف مردوم سعته 250م3 بالحمار </v>
          </cell>
          <cell r="G66" t="str">
            <v>الموارد المائية</v>
          </cell>
          <cell r="H66">
            <v>7175000</v>
          </cell>
          <cell r="J66" t="str">
            <v>الري</v>
          </cell>
        </row>
        <row r="67">
          <cell r="F67" t="str">
            <v xml:space="preserve">دراسة متابعة وإنجاز طريق مدرسة الخرزة على مسافة 500م </v>
          </cell>
          <cell r="G67" t="str">
            <v>الاشغال العمومية</v>
          </cell>
          <cell r="H67">
            <v>9000000</v>
          </cell>
          <cell r="J67" t="str">
            <v>الطرق</v>
          </cell>
        </row>
        <row r="68">
          <cell r="F68" t="str">
            <v xml:space="preserve">متابعة وإنجاز التهيئة الحضرية بالغيل </v>
          </cell>
          <cell r="G68" t="str">
            <v>التهيئة والتعمير</v>
          </cell>
          <cell r="H68">
            <v>8000000</v>
          </cell>
          <cell r="J68" t="str">
            <v>التهيئة</v>
          </cell>
        </row>
        <row r="69">
          <cell r="F69" t="str">
            <v xml:space="preserve">دراسة ومتابعة وإنجاز طريق مدرسة  الشهيد لبوازدة لخضر بالطاقية على مسافة 500م </v>
          </cell>
          <cell r="G69" t="str">
            <v>الاشغال العمومية</v>
          </cell>
          <cell r="H69">
            <v>5000000</v>
          </cell>
          <cell r="J69" t="str">
            <v>الطرق</v>
          </cell>
        </row>
        <row r="70">
          <cell r="F70" t="str">
            <v>متابعة وإنجاز قسم دراسي بمدرسة الشهيدلعشاش معيوف بالخلوة</v>
          </cell>
          <cell r="G70" t="str">
            <v>التربية</v>
          </cell>
          <cell r="H70">
            <v>3000000</v>
          </cell>
          <cell r="J70" t="str">
            <v>البناء</v>
          </cell>
        </row>
        <row r="71">
          <cell r="F71" t="str">
            <v>انجاز تنقيبين بمنطقتي الخلوة والزيتون ببلدية المعاضيد</v>
          </cell>
          <cell r="G71" t="str">
            <v>الموارد المائية</v>
          </cell>
          <cell r="H71">
            <v>23000000</v>
          </cell>
          <cell r="J71" t="str">
            <v>الري</v>
          </cell>
        </row>
        <row r="72">
          <cell r="F72">
            <v>9</v>
          </cell>
          <cell r="H72">
            <v>70175000</v>
          </cell>
        </row>
        <row r="73">
          <cell r="F73" t="str">
            <v xml:space="preserve"> متابعةو انجاز الطريق البلدي العيادة - الديالم على مسافة 850 م </v>
          </cell>
          <cell r="G73" t="str">
            <v>الاشغال العمومية</v>
          </cell>
          <cell r="H73">
            <v>10000000</v>
          </cell>
          <cell r="J73" t="str">
            <v>الطرق</v>
          </cell>
        </row>
        <row r="74">
          <cell r="F74" t="str">
            <v xml:space="preserve">تجديد الانارة العمومية بنظام LED   في الطريق الوطني رقم 40 بالمطارفة </v>
          </cell>
          <cell r="G74" t="str">
            <v>التهيئة والتعمير</v>
          </cell>
          <cell r="H74">
            <v>5880980</v>
          </cell>
          <cell r="J74" t="str">
            <v>التهيئة</v>
          </cell>
        </row>
        <row r="75">
          <cell r="F75" t="str">
            <v>دراسة ومتابعة انجاز 3 أقسام دراسية بالمدرسة الجديدة بالمطارفة</v>
          </cell>
          <cell r="G75" t="str">
            <v>التربية</v>
          </cell>
          <cell r="H75">
            <v>9000000</v>
          </cell>
          <cell r="J75" t="str">
            <v>البناء</v>
          </cell>
        </row>
        <row r="76">
          <cell r="F76" t="str">
            <v>حفر  بئر  بقرية الزواولة</v>
          </cell>
          <cell r="G76" t="str">
            <v>الموارد المائية</v>
          </cell>
          <cell r="H76">
            <v>7000000</v>
          </cell>
          <cell r="J76" t="str">
            <v>الري</v>
          </cell>
        </row>
        <row r="77">
          <cell r="F77" t="str">
            <v>دراسة وانجاز قسم مدرسي بالزواولة</v>
          </cell>
          <cell r="G77" t="str">
            <v>التربية</v>
          </cell>
          <cell r="H77">
            <v>3000000</v>
          </cell>
          <cell r="J77" t="str">
            <v>البناء</v>
          </cell>
        </row>
        <row r="78">
          <cell r="F78" t="str">
            <v>فتح مسالك ريفية ببلدية المطارفة مسافة 2,6  كلم</v>
          </cell>
          <cell r="G78" t="str">
            <v>الفلاحة</v>
          </cell>
          <cell r="H78">
            <v>4000000</v>
          </cell>
          <cell r="J78" t="str">
            <v>الطرق</v>
          </cell>
        </row>
        <row r="79">
          <cell r="F79" t="str">
            <v>دراسة ومتابعة وإنجاز مطعم 100 وجبة بالمدرسة الابتدائية الجديد بالمطارفة</v>
          </cell>
          <cell r="G79" t="str">
            <v>التربية</v>
          </cell>
          <cell r="H79">
            <v>12000000</v>
          </cell>
          <cell r="J79" t="str">
            <v>البناء</v>
          </cell>
        </row>
        <row r="80">
          <cell r="F80">
            <v>7</v>
          </cell>
          <cell r="H80">
            <v>50880980</v>
          </cell>
        </row>
        <row r="81">
          <cell r="F81" t="str">
            <v>انجاز مطعم مدرسي 200 وجبة بمدرسة الشهيد علي صوشة بوزيد</v>
          </cell>
          <cell r="G81" t="str">
            <v>التربية</v>
          </cell>
          <cell r="H81">
            <v>12000000</v>
          </cell>
          <cell r="J81" t="str">
            <v>البناء</v>
          </cell>
        </row>
        <row r="82">
          <cell r="F82" t="str">
            <v>مراقبة و متابعة وتزويد قرية الصوالح بمياه الشرب</v>
          </cell>
          <cell r="G82" t="str">
            <v>الموارد المائية</v>
          </cell>
          <cell r="H82">
            <v>8000000</v>
          </cell>
          <cell r="J82" t="str">
            <v>الري</v>
          </cell>
        </row>
        <row r="83">
          <cell r="F83" t="str">
            <v>متابعة وتزويد لحمايم الجنوبية بمياه الشرب</v>
          </cell>
          <cell r="G83" t="str">
            <v>الموارد المائية</v>
          </cell>
          <cell r="H83">
            <v>2500000</v>
          </cell>
          <cell r="J83" t="str">
            <v>الري</v>
          </cell>
        </row>
        <row r="84">
          <cell r="F84" t="str">
            <v>متابعة وتزويد حي غرب ثانوية لعويجي عمر بمياه الشرب</v>
          </cell>
          <cell r="G84" t="str">
            <v>الموارد المائية</v>
          </cell>
          <cell r="H84">
            <v>2000000</v>
          </cell>
          <cell r="J84" t="str">
            <v>الري</v>
          </cell>
        </row>
        <row r="85">
          <cell r="F85" t="str">
            <v xml:space="preserve"> متابعة وتزويد قرية أولاد إبراهيم بمياه الشرب</v>
          </cell>
          <cell r="G85" t="str">
            <v>الموارد المائية</v>
          </cell>
          <cell r="H85">
            <v>2000000</v>
          </cell>
          <cell r="J85" t="str">
            <v>الري</v>
          </cell>
        </row>
        <row r="86">
          <cell r="F86" t="str">
            <v>ترميم مطعم مدرسي بمدرسة الشهيد يوسفي عمر بلمزاير</v>
          </cell>
          <cell r="G86" t="str">
            <v>الاشغال العمومية</v>
          </cell>
          <cell r="H86">
            <v>2000000</v>
          </cell>
          <cell r="J86" t="str">
            <v>الطرق</v>
          </cell>
        </row>
        <row r="87">
          <cell r="F87" t="str">
            <v xml:space="preserve"> متابعة وتزويد جنوب حي الشرايط ولعوابي الشرقية بمياه الشرب</v>
          </cell>
          <cell r="G87" t="str">
            <v>الموارد المائية</v>
          </cell>
          <cell r="H87">
            <v>1500000</v>
          </cell>
          <cell r="J87" t="str">
            <v>الري</v>
          </cell>
        </row>
        <row r="88">
          <cell r="F88" t="str">
            <v>دراسة ومتابعة انجاز قسمين دراسيين بمدرسة جميات رابح ببالول</v>
          </cell>
          <cell r="G88" t="str">
            <v>التربية</v>
          </cell>
          <cell r="H88">
            <v>7000000</v>
          </cell>
          <cell r="J88" t="str">
            <v>البناء</v>
          </cell>
        </row>
        <row r="89">
          <cell r="F89" t="str">
            <v>دراسة و متابعة و انجاز قسمين و جناح صحي بمدرسة سايحي الدراجي بالشبابحة</v>
          </cell>
          <cell r="G89" t="str">
            <v>التربية</v>
          </cell>
          <cell r="H89">
            <v>7200000</v>
          </cell>
          <cell r="J89" t="str">
            <v>البناء</v>
          </cell>
        </row>
        <row r="90">
          <cell r="F90" t="str">
            <v xml:space="preserve"> ربط الملحقة الادارية بالبرابرة بالبلدية بشبكة التدفق العالي </v>
          </cell>
          <cell r="G90" t="str">
            <v>اتصالات</v>
          </cell>
          <cell r="H90">
            <v>1800000</v>
          </cell>
          <cell r="J90" t="str">
            <v>اتصالات</v>
          </cell>
        </row>
        <row r="91">
          <cell r="F91" t="str">
            <v>إنجاز طريق سوق الفلاح ( سابقا ) على مسافة 150 م</v>
          </cell>
          <cell r="G91" t="str">
            <v>الاشغال العمومية</v>
          </cell>
          <cell r="H91">
            <v>3000000</v>
          </cell>
          <cell r="J91" t="str">
            <v>الطرق</v>
          </cell>
        </row>
        <row r="92">
          <cell r="F92">
            <v>11</v>
          </cell>
          <cell r="H92">
            <v>49000000</v>
          </cell>
        </row>
        <row r="93">
          <cell r="F93" t="str">
            <v xml:space="preserve"> ربط وتجهيزوكهربة البئر التدعيمي بالخزان مع بناء واقية  بمقر البلدية</v>
          </cell>
          <cell r="G93" t="str">
            <v>الموارد المائية</v>
          </cell>
          <cell r="H93">
            <v>9500000</v>
          </cell>
          <cell r="J93" t="str">
            <v>الري</v>
          </cell>
        </row>
        <row r="94">
          <cell r="F94" t="str">
            <v>دراسة ومتابعة وتوسعة شبكة الصرف الصحي لعائلات(قيمر-صواش-شطة-بوتشيشة-مجنح-قارة) بقرية بوحمادو - الشطر الأول</v>
          </cell>
          <cell r="G94" t="str">
            <v>الموارد المائية</v>
          </cell>
          <cell r="H94">
            <v>6500000</v>
          </cell>
          <cell r="J94" t="str">
            <v>الري</v>
          </cell>
        </row>
        <row r="95">
          <cell r="F95" t="str">
            <v>متابعة وانجاز مسالك ريفية على مسافة 04كلم (عواسة-لقبيبات-بوحمادو )-الشطر الأول</v>
          </cell>
          <cell r="G95" t="str">
            <v>الفلاحة</v>
          </cell>
          <cell r="H95">
            <v>4500000</v>
          </cell>
          <cell r="J95" t="str">
            <v>الطرق</v>
          </cell>
        </row>
        <row r="96">
          <cell r="F96" t="str">
            <v xml:space="preserve"> انجاز مصب جديد على مسافة 01 كلم مع تمديد شبكة الصرف الصحي قرية خباب (المنكوبين) الشطر الأول</v>
          </cell>
          <cell r="G96" t="str">
            <v>الموارد المائية</v>
          </cell>
          <cell r="H96">
            <v>7000000</v>
          </cell>
          <cell r="J96" t="str">
            <v>الري</v>
          </cell>
        </row>
        <row r="97">
          <cell r="F97" t="str">
            <v>متابعة وتجديد القناة الرئيسية للمياه من نوع الاميونت قرية عواسة - الشطر الأول</v>
          </cell>
          <cell r="G97" t="str">
            <v>الموارد المائية</v>
          </cell>
          <cell r="H97">
            <v>8000000</v>
          </cell>
          <cell r="J97" t="str">
            <v>الري</v>
          </cell>
        </row>
        <row r="98">
          <cell r="F98" t="str">
            <v xml:space="preserve"> مراقبة و دراسة ومتابعة وتوسعة شبكة الصرف الصحي لعائلة بحري+قارش قرية الجرابعة</v>
          </cell>
          <cell r="G98" t="str">
            <v>الموارد المائية</v>
          </cell>
          <cell r="H98">
            <v>2500000</v>
          </cell>
          <cell r="J98" t="str">
            <v>الري</v>
          </cell>
        </row>
        <row r="99">
          <cell r="F99" t="str">
            <v>حفر  بئر تدعيمي بقرية بوحمادو</v>
          </cell>
          <cell r="G99" t="str">
            <v>الموارد المائية</v>
          </cell>
          <cell r="H99">
            <v>7000000</v>
          </cell>
          <cell r="J99" t="str">
            <v>الري</v>
          </cell>
        </row>
        <row r="100">
          <cell r="F100" t="str">
            <v>متابعة و انجاز توسعة المياه الصالحة للشرب بقرى لوداني - خباب - بوحمادو</v>
          </cell>
          <cell r="G100" t="str">
            <v>الموارد المائية</v>
          </cell>
          <cell r="H100">
            <v>3000000</v>
          </cell>
          <cell r="J100" t="str">
            <v>الري</v>
          </cell>
        </row>
        <row r="101">
          <cell r="F101" t="str">
            <v>دراسة و متابعة و انجاز المصب الرئيسي للجهة الشرقية و الثانوية الجديدة مركز سد الرخايل</v>
          </cell>
          <cell r="G101" t="str">
            <v>الموارد المائية</v>
          </cell>
          <cell r="H101">
            <v>11900000</v>
          </cell>
          <cell r="J101" t="str">
            <v>الري</v>
          </cell>
        </row>
        <row r="102">
          <cell r="F102" t="str">
            <v>انجاز جدار الاحاطة + الحجابة + تهيئة الساحة + الانارة الخارجية بملحقة مدرسة الشهيد لغبش العيفة بلهجارس</v>
          </cell>
          <cell r="G102" t="str">
            <v>التربية</v>
          </cell>
          <cell r="H102">
            <v>7661000</v>
          </cell>
          <cell r="I102" t="str">
            <v>تبليغ</v>
          </cell>
          <cell r="J102" t="str">
            <v>البناء</v>
          </cell>
        </row>
        <row r="103">
          <cell r="F103">
            <v>10</v>
          </cell>
          <cell r="H103">
            <v>67561000</v>
          </cell>
        </row>
        <row r="104">
          <cell r="F104">
            <v>47</v>
          </cell>
          <cell r="H104">
            <v>309116980</v>
          </cell>
        </row>
        <row r="105">
          <cell r="F105" t="str">
            <v>دراسة ومتابعة وإنجاز قسم دراسي + قاعة بمدرسة الشهيد خيري رابح بمقرة</v>
          </cell>
          <cell r="G105" t="str">
            <v>التربية</v>
          </cell>
          <cell r="H105">
            <v>4700000</v>
          </cell>
          <cell r="J105" t="str">
            <v>البناء</v>
          </cell>
        </row>
        <row r="106">
          <cell r="F106" t="str">
            <v>دراسة ومتابعة وإنجاز قسم دراسي + قاعة بمدرسة الشهيد قاصري عيسى بمقرة</v>
          </cell>
          <cell r="G106" t="str">
            <v>التربية</v>
          </cell>
          <cell r="H106">
            <v>4700000</v>
          </cell>
          <cell r="J106" t="str">
            <v>البناء</v>
          </cell>
        </row>
        <row r="107">
          <cell r="F107" t="str">
            <v>دراسة ومتابعة وإنجاز قسم دراسي + قاعة بمدرسة الشهيد رحماني محمود بمقرة</v>
          </cell>
          <cell r="G107" t="str">
            <v>التربية</v>
          </cell>
          <cell r="H107">
            <v>4700000</v>
          </cell>
          <cell r="J107" t="str">
            <v>البناء</v>
          </cell>
        </row>
        <row r="108">
          <cell r="F108" t="str">
            <v>دراسة ومتابعة وإنجاز تجديد وتوسيع شبكة الصرف الصحي بوسط المدينة بمقرة</v>
          </cell>
          <cell r="G108" t="str">
            <v>الموارد المائية</v>
          </cell>
          <cell r="H108">
            <v>6000000</v>
          </cell>
          <cell r="J108" t="str">
            <v>الري</v>
          </cell>
        </row>
        <row r="109">
          <cell r="F109" t="str">
            <v xml:space="preserve">إعادة تأهيل الانارة العمومية بنمط LED بوسط المدينة </v>
          </cell>
          <cell r="G109" t="str">
            <v>التهيئة والتعمير</v>
          </cell>
          <cell r="H109">
            <v>2000000</v>
          </cell>
          <cell r="J109" t="str">
            <v>التهيئة</v>
          </cell>
        </row>
        <row r="110">
          <cell r="F110" t="str">
            <v>دراسة ومتابعة وإنجاز مقاطع طرق بمشتة أولاد منصور بمقرة</v>
          </cell>
          <cell r="G110" t="str">
            <v>الاشغال العمومية</v>
          </cell>
          <cell r="H110">
            <v>7250000</v>
          </cell>
          <cell r="J110" t="str">
            <v>الطرق</v>
          </cell>
        </row>
        <row r="111">
          <cell r="F111" t="str">
            <v>دراسة ومتابعة وإنجاز مقاطع طرق بمشتة أولاد مبارك بمقرة</v>
          </cell>
          <cell r="G111" t="str">
            <v>الاشغال العمومية</v>
          </cell>
          <cell r="H111">
            <v>7250000</v>
          </cell>
          <cell r="J111" t="str">
            <v>الطرق</v>
          </cell>
        </row>
        <row r="112">
          <cell r="F112" t="str">
            <v>دراسة ومتابعة وإنجاز مقاطع طرق بمشتة أولادعريبة بمقرة</v>
          </cell>
          <cell r="G112" t="str">
            <v>الاشغال العمومية</v>
          </cell>
          <cell r="H112">
            <v>7000000</v>
          </cell>
          <cell r="J112" t="str">
            <v>الطرق</v>
          </cell>
        </row>
        <row r="113">
          <cell r="F113" t="str">
            <v xml:space="preserve"> توسيع شبكة المياه الصالحة للشرب بمشتة الذبابحة بمقرة</v>
          </cell>
          <cell r="G113" t="str">
            <v>الموارد المائية</v>
          </cell>
          <cell r="H113">
            <v>2000000</v>
          </cell>
          <cell r="J113" t="str">
            <v>الري</v>
          </cell>
        </row>
        <row r="114">
          <cell r="F114" t="str">
            <v>تجديد وترميم الجناح الصحي + إنجاز المدخل لمدرسة الشهيد شالي النوي بمقرة</v>
          </cell>
          <cell r="G114" t="str">
            <v>التربية</v>
          </cell>
          <cell r="H114">
            <v>1500000</v>
          </cell>
          <cell r="J114" t="str">
            <v>البناء</v>
          </cell>
        </row>
        <row r="115">
          <cell r="F115" t="str">
            <v>دراسة ومتابعة وإنجاز مقاطع طرق بمشتة أولاد عطية بمقرة</v>
          </cell>
          <cell r="G115" t="str">
            <v>الاشغال العمومية</v>
          </cell>
          <cell r="H115">
            <v>2000000</v>
          </cell>
          <cell r="J115" t="str">
            <v>الطرق</v>
          </cell>
        </row>
        <row r="116">
          <cell r="F116" t="str">
            <v>دراسة ومتابعة وإنجاز قسم دراسي بالمجمع الجديد الجر بواضح بمقرة</v>
          </cell>
          <cell r="G116" t="str">
            <v>التربية</v>
          </cell>
          <cell r="H116">
            <v>2500000</v>
          </cell>
          <cell r="J116" t="str">
            <v>البناء</v>
          </cell>
        </row>
        <row r="117">
          <cell r="F117" t="str">
            <v xml:space="preserve"> توسعة شبكة المياه الصالحة للشرب بمشتة الشواقة بمقرة</v>
          </cell>
          <cell r="G117" t="str">
            <v>الموارد المائية</v>
          </cell>
          <cell r="H117">
            <v>2000000</v>
          </cell>
          <cell r="J117" t="str">
            <v>الري</v>
          </cell>
        </row>
        <row r="118">
          <cell r="F118" t="str">
            <v>تجديد وترميم المطعم المدرسي + سور الحماية لمدرسة الشهيد العلجي محمد بمقرة</v>
          </cell>
          <cell r="G118" t="str">
            <v>التربية</v>
          </cell>
          <cell r="H118">
            <v>1400000</v>
          </cell>
          <cell r="J118" t="str">
            <v>البناء</v>
          </cell>
        </row>
        <row r="119">
          <cell r="F119" t="str">
            <v>كهربة وربط بئر اولاد عربية بالشبكة</v>
          </cell>
          <cell r="G119" t="str">
            <v>الموارد المائية</v>
          </cell>
          <cell r="H119">
            <v>6416000</v>
          </cell>
          <cell r="I119" t="str">
            <v>تبليغ</v>
          </cell>
          <cell r="J119" t="str">
            <v>الري</v>
          </cell>
        </row>
        <row r="120">
          <cell r="F120">
            <v>15</v>
          </cell>
          <cell r="H120">
            <v>61416000</v>
          </cell>
        </row>
        <row r="121">
          <cell r="F121" t="str">
            <v>تكملة انجاز طريق بمنطقة الرقاعة</v>
          </cell>
          <cell r="G121" t="str">
            <v>الاشغال العمومية</v>
          </cell>
          <cell r="H121">
            <v>9000000</v>
          </cell>
          <cell r="J121" t="str">
            <v>الطرق</v>
          </cell>
        </row>
        <row r="122">
          <cell r="F122" t="str">
            <v>انجاز طريق بقرية لغرايب-الشطر الثاني</v>
          </cell>
          <cell r="G122" t="str">
            <v>الاشغال العمومية</v>
          </cell>
          <cell r="H122">
            <v>6000000</v>
          </cell>
          <cell r="J122" t="str">
            <v>الطرق</v>
          </cell>
        </row>
        <row r="123">
          <cell r="F123" t="str">
            <v>دراسة ومتابعة وإنجاز التهيئة الحضرية للمدخل الشمالي للمدينة</v>
          </cell>
          <cell r="G123" t="str">
            <v>التهيئة والتعمير</v>
          </cell>
          <cell r="H123">
            <v>10000000</v>
          </cell>
          <cell r="J123" t="str">
            <v>التهيئة</v>
          </cell>
        </row>
        <row r="124">
          <cell r="F124" t="str">
            <v xml:space="preserve">صيانة و تجديد الانارة العمومية نمط LED </v>
          </cell>
          <cell r="G124" t="str">
            <v>التهيئة والتعمير</v>
          </cell>
          <cell r="H124">
            <v>2500000</v>
          </cell>
          <cell r="J124" t="str">
            <v>التهيئة</v>
          </cell>
        </row>
        <row r="125">
          <cell r="F125" t="str">
            <v xml:space="preserve">التهيئة الحضرية لمركز المدينة </v>
          </cell>
          <cell r="G125" t="str">
            <v>التهيئة والتعمير</v>
          </cell>
          <cell r="H125">
            <v>10500000</v>
          </cell>
          <cell r="J125" t="str">
            <v>التهيئة</v>
          </cell>
        </row>
        <row r="126">
          <cell r="F126" t="str">
            <v>دراسة ومتابعة وانجاز طريق بقرية أولاد سي علي برابح  الشطر الأول</v>
          </cell>
          <cell r="G126" t="str">
            <v>الاشغال العمومية</v>
          </cell>
          <cell r="H126">
            <v>7000000</v>
          </cell>
          <cell r="J126" t="str">
            <v>الطرق</v>
          </cell>
        </row>
        <row r="127">
          <cell r="F127" t="str">
            <v>انجاز طريق يربط الطريق الوطني رقم 40 بالاكمالية ببرهوم</v>
          </cell>
          <cell r="G127" t="str">
            <v>الاشغال العمومية</v>
          </cell>
          <cell r="H127">
            <v>11600000</v>
          </cell>
          <cell r="J127" t="str">
            <v>الطرق</v>
          </cell>
        </row>
        <row r="128">
          <cell r="F128">
            <v>7</v>
          </cell>
          <cell r="H128">
            <v>56600000</v>
          </cell>
        </row>
        <row r="129">
          <cell r="F129" t="str">
            <v>دراسة ومتابعة وانجاز طريق بدوار أولاد سي عمر - الشطر الأول</v>
          </cell>
          <cell r="G129" t="str">
            <v>الاشغال العمومية</v>
          </cell>
          <cell r="H129">
            <v>17500000</v>
          </cell>
          <cell r="J129" t="str">
            <v>الطرق</v>
          </cell>
        </row>
        <row r="130">
          <cell r="F130" t="str">
            <v>تكملة تهيئة شوارع حي محمد بوضياف</v>
          </cell>
          <cell r="G130" t="str">
            <v>التهيئة والتعمير</v>
          </cell>
          <cell r="H130">
            <v>9500000</v>
          </cell>
          <cell r="J130" t="str">
            <v>التهيئة</v>
          </cell>
        </row>
        <row r="131">
          <cell r="F131" t="str">
            <v>تجديد الانارة العمومية بمركز المدينة بنمط LED (اقتناء و تركيب)</v>
          </cell>
          <cell r="G131" t="str">
            <v>التهيئة والتعمير</v>
          </cell>
          <cell r="H131">
            <v>6000000</v>
          </cell>
          <cell r="J131" t="str">
            <v>التهيئة</v>
          </cell>
        </row>
        <row r="132">
          <cell r="F132" t="str">
            <v>توسعة شبكة المياه الصالحة للشرب عبر قرى ومداشر البلدية</v>
          </cell>
          <cell r="G132" t="str">
            <v>الموارد المائية</v>
          </cell>
          <cell r="H132">
            <v>5000000</v>
          </cell>
          <cell r="J132" t="str">
            <v>الري</v>
          </cell>
        </row>
        <row r="133">
          <cell r="F133" t="str">
            <v>توسعة شبكة الصرف الصحي بمركز المدينة</v>
          </cell>
          <cell r="G133" t="str">
            <v>الموارد المائية</v>
          </cell>
          <cell r="H133">
            <v>7000000</v>
          </cell>
          <cell r="J133" t="str">
            <v>الري</v>
          </cell>
        </row>
        <row r="134">
          <cell r="F134" t="str">
            <v>انجاز مقاطع الطرق عبر تراب البلدية</v>
          </cell>
          <cell r="G134" t="str">
            <v>الاشغال العمومية</v>
          </cell>
          <cell r="H134">
            <v>6000000</v>
          </cell>
          <cell r="J134" t="str">
            <v>الطرق</v>
          </cell>
        </row>
        <row r="135">
          <cell r="F135">
            <v>6</v>
          </cell>
          <cell r="H135">
            <v>51000000</v>
          </cell>
        </row>
        <row r="136">
          <cell r="F136" t="str">
            <v>تجهيزبئر  بالحفايظ(ثنية الشارة)</v>
          </cell>
          <cell r="G136" t="str">
            <v>الموارد المائية</v>
          </cell>
          <cell r="H136">
            <v>5320000</v>
          </cell>
          <cell r="J136" t="str">
            <v>الري</v>
          </cell>
        </row>
        <row r="137">
          <cell r="F137" t="str">
            <v>اعادة تأهيل مقاطع طرق بمشتة لمكامن على مسافة 2كم</v>
          </cell>
          <cell r="G137" t="str">
            <v>الاشغال العمومية</v>
          </cell>
          <cell r="H137">
            <v>8500000</v>
          </cell>
          <cell r="J137" t="str">
            <v>الطرق</v>
          </cell>
        </row>
        <row r="138">
          <cell r="F138" t="str">
            <v>دراسة وانجاز شبكة الصرف الصحي بالهزال</v>
          </cell>
          <cell r="G138" t="str">
            <v>الموارد المائية</v>
          </cell>
          <cell r="H138">
            <v>7680000</v>
          </cell>
          <cell r="J138" t="str">
            <v>الري</v>
          </cell>
        </row>
        <row r="139">
          <cell r="F139" t="str">
            <v>دراسة وانجاز قاعة دراسية بمدرسة رباني أحمد</v>
          </cell>
          <cell r="G139" t="str">
            <v>التربية</v>
          </cell>
          <cell r="H139">
            <v>3500000</v>
          </cell>
          <cell r="J139" t="str">
            <v>البناء</v>
          </cell>
        </row>
        <row r="140">
          <cell r="F140" t="str">
            <v xml:space="preserve">  دراسة وانجاز شبكة الصرف الصحي بوسط المدينة</v>
          </cell>
          <cell r="G140" t="str">
            <v>الموارد المائية</v>
          </cell>
          <cell r="H140">
            <v>4500000</v>
          </cell>
          <cell r="J140" t="str">
            <v>الري</v>
          </cell>
        </row>
        <row r="141">
          <cell r="F141" t="str">
            <v>دراسة وانجاز شبكة الصرف الصحي لعجال - لكحل- حي المتوسطة الجديدة</v>
          </cell>
          <cell r="G141" t="str">
            <v>الموارد المائية</v>
          </cell>
          <cell r="H141">
            <v>4000000</v>
          </cell>
          <cell r="J141" t="str">
            <v>الري</v>
          </cell>
        </row>
        <row r="142">
          <cell r="F142" t="str">
            <v>دراسة ومتابعة وإنجاز ساحة لعب بمدرسة الشهيد بوحفص لقريشي</v>
          </cell>
          <cell r="G142" t="str">
            <v>التربية</v>
          </cell>
          <cell r="H142">
            <v>2500000</v>
          </cell>
          <cell r="J142" t="str">
            <v>البناء</v>
          </cell>
        </row>
        <row r="143">
          <cell r="F143" t="str">
            <v xml:space="preserve">دراسة ومتابعة وانجازمقاطع طرق بمشتة الزواتنية </v>
          </cell>
          <cell r="G143" t="str">
            <v>الاشغال العمومية</v>
          </cell>
          <cell r="H143">
            <v>3000000</v>
          </cell>
          <cell r="J143" t="str">
            <v>الطرق</v>
          </cell>
        </row>
        <row r="144">
          <cell r="F144" t="str">
            <v>إعاد تأهيل الطريق المؤدي إلى مدرسة الشهيد سايب البشير - الشطر الأول -</v>
          </cell>
          <cell r="G144" t="str">
            <v>الاشغال العمومية</v>
          </cell>
          <cell r="H144">
            <v>2000000</v>
          </cell>
          <cell r="J144" t="str">
            <v>الطرق</v>
          </cell>
        </row>
        <row r="145">
          <cell r="F145" t="str">
            <v xml:space="preserve">  توسيع شبكة المياه الصالحة للشرب (أولاد بلحوت - سايب - قاسمي)</v>
          </cell>
          <cell r="G145" t="str">
            <v>الموارد المائية</v>
          </cell>
          <cell r="H145">
            <v>4000000</v>
          </cell>
          <cell r="J145" t="str">
            <v>الري</v>
          </cell>
        </row>
        <row r="146">
          <cell r="F146">
            <v>10</v>
          </cell>
          <cell r="H146">
            <v>45000000</v>
          </cell>
        </row>
        <row r="147">
          <cell r="F147" t="str">
            <v xml:space="preserve">تكملة التهيئة الحضرية والانارة العمومية بLED بالدهاهنة مركز </v>
          </cell>
          <cell r="G147" t="str">
            <v>التهيئة والتعمير</v>
          </cell>
          <cell r="H147">
            <v>7000000</v>
          </cell>
          <cell r="J147" t="str">
            <v>التهيئة</v>
          </cell>
        </row>
        <row r="148">
          <cell r="F148" t="str">
            <v xml:space="preserve">دراسة ومتابعة وانجاز طرق بالنايفة على مسافة 02كلم </v>
          </cell>
          <cell r="G148" t="str">
            <v>الاشغال العمومية</v>
          </cell>
          <cell r="H148">
            <v>9000000</v>
          </cell>
          <cell r="J148" t="str">
            <v>الطرق</v>
          </cell>
        </row>
        <row r="149">
          <cell r="F149" t="str">
            <v xml:space="preserve">متابعة واعادة تأهيل طريق السلامات </v>
          </cell>
          <cell r="G149" t="str">
            <v>الاشغال العمومية</v>
          </cell>
          <cell r="H149">
            <v>6500000</v>
          </cell>
          <cell r="J149" t="str">
            <v>الطرق</v>
          </cell>
        </row>
        <row r="150">
          <cell r="F150" t="str">
            <v xml:space="preserve">انجاز ساحة لعب معشوشبة اصطناعيا بالقطاطشة </v>
          </cell>
          <cell r="G150" t="str">
            <v>الشباب والرياضة</v>
          </cell>
          <cell r="H150">
            <v>7000000</v>
          </cell>
          <cell r="J150" t="str">
            <v>البناء</v>
          </cell>
        </row>
        <row r="151">
          <cell r="F151" t="str">
            <v>دراسة ومتابعة وانجاز طريق اولاد خليف - اولاد ابراهيم</v>
          </cell>
          <cell r="G151" t="str">
            <v>الاشغال العمومية</v>
          </cell>
          <cell r="H151">
            <v>4500000</v>
          </cell>
          <cell r="J151" t="str">
            <v>الطرق</v>
          </cell>
        </row>
        <row r="152">
          <cell r="F152" t="str">
            <v>دراسة ومتابعة وانجاز طريق باولاد سيدي يحي على مسافة 01 كم</v>
          </cell>
          <cell r="G152" t="str">
            <v>الاشغال العمومية</v>
          </cell>
          <cell r="H152">
            <v>4000000</v>
          </cell>
          <cell r="J152" t="str">
            <v>الطرق</v>
          </cell>
        </row>
        <row r="153">
          <cell r="F153" t="str">
            <v>دراسة ومتابعة وانجاز طريق باولاد سيدي ابراهيم على مسافة 01 كم</v>
          </cell>
          <cell r="G153" t="str">
            <v>الاشغال العمومية</v>
          </cell>
          <cell r="H153">
            <v>4000000</v>
          </cell>
          <cell r="J153" t="str">
            <v>الطرق</v>
          </cell>
        </row>
        <row r="154">
          <cell r="F154" t="str">
            <v>توسيع شبكة المياه الصالحة للشرب عبر تراب البلدية</v>
          </cell>
          <cell r="G154" t="str">
            <v>الموارد المائية</v>
          </cell>
          <cell r="H154">
            <v>3000000</v>
          </cell>
          <cell r="J154" t="str">
            <v>الري</v>
          </cell>
        </row>
        <row r="155">
          <cell r="F155">
            <v>8</v>
          </cell>
          <cell r="H155">
            <v>45000000</v>
          </cell>
        </row>
        <row r="156">
          <cell r="F156">
            <v>46</v>
          </cell>
          <cell r="H156">
            <v>259016000</v>
          </cell>
        </row>
        <row r="157">
          <cell r="F157" t="str">
            <v>دراسة، متابعة وانجاز قسم دراسي بمدرسة عبد الحميد بن باديس بقرية قيمر</v>
          </cell>
          <cell r="G157" t="str">
            <v>التربية</v>
          </cell>
          <cell r="H157">
            <v>4200000</v>
          </cell>
          <cell r="J157" t="str">
            <v>البناء</v>
          </cell>
        </row>
        <row r="158">
          <cell r="F158" t="str">
            <v xml:space="preserve">  توسيع شبكة الصرف الصحي بالشلال مركز</v>
          </cell>
          <cell r="G158" t="str">
            <v>الموارد المائية</v>
          </cell>
          <cell r="H158">
            <v>2500000</v>
          </cell>
          <cell r="J158" t="str">
            <v>الري</v>
          </cell>
        </row>
        <row r="159">
          <cell r="F159" t="str">
            <v xml:space="preserve"> تجديد وتوسعة شبكة الصرف الصحي بقرية القاسية</v>
          </cell>
          <cell r="G159" t="str">
            <v>الموارد المائية</v>
          </cell>
          <cell r="H159">
            <v>4000000</v>
          </cell>
          <cell r="J159" t="str">
            <v>الري</v>
          </cell>
        </row>
        <row r="160">
          <cell r="F160" t="str">
            <v>تعبيد الشوارع بالشلال مركز</v>
          </cell>
          <cell r="G160" t="str">
            <v>الاشغال العمومية</v>
          </cell>
          <cell r="H160">
            <v>11000000</v>
          </cell>
          <cell r="J160" t="str">
            <v>الطرق</v>
          </cell>
        </row>
        <row r="161">
          <cell r="F161" t="str">
            <v>انجاز تهيئة حضرية بشارعي مدرسة مليكة قايد والمسجد بقرية العمارات</v>
          </cell>
          <cell r="G161" t="str">
            <v>التهيئة والتعمير</v>
          </cell>
          <cell r="H161">
            <v>6500000</v>
          </cell>
          <cell r="J161" t="str">
            <v>التهيئة</v>
          </cell>
        </row>
        <row r="162">
          <cell r="F162" t="str">
            <v>انجاز الانارة العمومية عبر قرى واحياء بلدية الشلال</v>
          </cell>
          <cell r="G162" t="str">
            <v>التهيئة والتعمير</v>
          </cell>
          <cell r="H162">
            <v>1200000</v>
          </cell>
          <cell r="J162" t="str">
            <v>التهيئة</v>
          </cell>
        </row>
        <row r="163">
          <cell r="F163" t="str">
            <v>ترميم مقر المفرزة سابقا (مقر الجمعيات حاليا)</v>
          </cell>
          <cell r="G163" t="str">
            <v>بناية بلدية</v>
          </cell>
          <cell r="H163">
            <v>2000000</v>
          </cell>
          <cell r="J163" t="str">
            <v>البناء</v>
          </cell>
        </row>
        <row r="164">
          <cell r="F164" t="str">
            <v xml:space="preserve">انجاز ساحة لعب معشوشبة اصطناعيا نوع ماتيكو بسد العوبي </v>
          </cell>
          <cell r="G164" t="str">
            <v>الشباب والرياضة</v>
          </cell>
          <cell r="H164">
            <v>11500000</v>
          </cell>
          <cell r="J164" t="str">
            <v>البناء</v>
          </cell>
        </row>
        <row r="165">
          <cell r="F165" t="str">
            <v>ترميم مدرسة الشهيد سعودي عبد الحميد بالصنم</v>
          </cell>
          <cell r="G165" t="str">
            <v>التربية</v>
          </cell>
          <cell r="H165">
            <v>3700000</v>
          </cell>
          <cell r="J165" t="str">
            <v>البناء</v>
          </cell>
        </row>
        <row r="166">
          <cell r="F166" t="str">
            <v>انجاز جناح صحي بمدرسة الشهيد أوصيف الدراجي بالشلال</v>
          </cell>
          <cell r="G166" t="str">
            <v>التربية</v>
          </cell>
          <cell r="H166">
            <v>1600000</v>
          </cell>
          <cell r="J166" t="str">
            <v>البناء</v>
          </cell>
        </row>
        <row r="167">
          <cell r="F167" t="str">
            <v>تعبيد بطبقتين الطريق البلدي عوينة السدرة على مسافة 1,2 كم</v>
          </cell>
          <cell r="G167" t="str">
            <v>الاشغال العمومية</v>
          </cell>
          <cell r="H167">
            <v>8500000</v>
          </cell>
          <cell r="J167" t="str">
            <v>الطرق</v>
          </cell>
        </row>
        <row r="168">
          <cell r="F168">
            <v>11</v>
          </cell>
          <cell r="H168">
            <v>56700000</v>
          </cell>
        </row>
        <row r="169">
          <cell r="F169" t="str">
            <v xml:space="preserve"> تجديد و توسيع  شبكة الصرف الصحي بسد الغابة</v>
          </cell>
          <cell r="G169" t="str">
            <v>الموارد المائية</v>
          </cell>
          <cell r="H169">
            <v>4000000</v>
          </cell>
          <cell r="J169" t="str">
            <v>الري</v>
          </cell>
        </row>
        <row r="170">
          <cell r="F170" t="str">
            <v xml:space="preserve">   تجديد و توسيع  شبكة الصرف الصحي بقرية اولاد عبد الحق </v>
          </cell>
          <cell r="G170" t="str">
            <v>الموارد المائية</v>
          </cell>
          <cell r="H170">
            <v>3500000</v>
          </cell>
          <cell r="J170" t="str">
            <v>الري</v>
          </cell>
        </row>
        <row r="171">
          <cell r="F171" t="str">
            <v xml:space="preserve">  متابعة و حفر و تجهيز منشاة تعبئة للمياه الصالحة للشرب (بئر استخلافي ) مع الربط بالخزان بقرية بياضة </v>
          </cell>
          <cell r="G171" t="str">
            <v>الموارد المائية</v>
          </cell>
          <cell r="H171">
            <v>15000000</v>
          </cell>
          <cell r="J171" t="str">
            <v>الري</v>
          </cell>
        </row>
        <row r="172">
          <cell r="F172" t="str">
            <v>تعبيد بثلاث طبقات طرقات سد الغابة الشرقية</v>
          </cell>
          <cell r="G172" t="str">
            <v>الاشغال العمومية</v>
          </cell>
          <cell r="H172">
            <v>6300000</v>
          </cell>
          <cell r="J172" t="str">
            <v>الطرق</v>
          </cell>
        </row>
        <row r="173">
          <cell r="F173" t="str">
            <v xml:space="preserve">مراقبة و  تأهيل وتوسيع شبكة الصرف الصحي باولاد عبد الله </v>
          </cell>
          <cell r="G173" t="str">
            <v>الموارد المائية</v>
          </cell>
          <cell r="H173">
            <v>4000000</v>
          </cell>
          <cell r="J173" t="str">
            <v>الري</v>
          </cell>
        </row>
        <row r="174">
          <cell r="F174" t="str">
            <v>تعبيد بثلاث طبقات طرقات باولاد عبد الله</v>
          </cell>
          <cell r="G174" t="str">
            <v>الاشغال العمومية</v>
          </cell>
          <cell r="H174">
            <v>5000000</v>
          </cell>
          <cell r="J174" t="str">
            <v>الطرق</v>
          </cell>
        </row>
        <row r="175">
          <cell r="F175" t="str">
            <v xml:space="preserve">دراسة و متابعة انجاز قسمين دراسيين تعويضيين بمدرسة ميرة المخلوفي بأولاد دهيم </v>
          </cell>
          <cell r="G175" t="str">
            <v>التربية</v>
          </cell>
          <cell r="H175">
            <v>8400000</v>
          </cell>
          <cell r="J175" t="str">
            <v>البناء</v>
          </cell>
        </row>
        <row r="176">
          <cell r="F176">
            <v>7</v>
          </cell>
          <cell r="H176">
            <v>46200000</v>
          </cell>
        </row>
        <row r="177">
          <cell r="F177" t="str">
            <v xml:space="preserve">انجاز الشبكة الداخلية للغاز الطبيعي بمدرسة  الشهيد ياحي عمر باولاد معتوق </v>
          </cell>
          <cell r="G177" t="str">
            <v>التربية</v>
          </cell>
          <cell r="H177">
            <v>1600000</v>
          </cell>
          <cell r="J177" t="str">
            <v>البناء</v>
          </cell>
        </row>
        <row r="178">
          <cell r="F178" t="str">
            <v xml:space="preserve">انجاز الشبكة الداخلية للغاز الطبيعي بمدرسة  الشهيد اوذينة احميدة باولاد سديرة </v>
          </cell>
          <cell r="G178" t="str">
            <v>التربية</v>
          </cell>
          <cell r="H178">
            <v>2000000</v>
          </cell>
          <cell r="J178" t="str">
            <v>البناء</v>
          </cell>
        </row>
        <row r="179">
          <cell r="F179" t="str">
            <v>انجاز ساحة لعب وتغطيتها بالعشب الاصطناعي بدوار المعاريف</v>
          </cell>
          <cell r="G179" t="str">
            <v>الشباب والرياضة</v>
          </cell>
          <cell r="H179">
            <v>11500000</v>
          </cell>
          <cell r="J179" t="str">
            <v>تهيئة</v>
          </cell>
        </row>
        <row r="180">
          <cell r="F180" t="str">
            <v>تمديد  شبكة الصرف الصحي  ببانيو</v>
          </cell>
          <cell r="G180" t="str">
            <v>الموارد المائية</v>
          </cell>
          <cell r="H180">
            <v>5000000</v>
          </cell>
          <cell r="J180" t="str">
            <v>الري</v>
          </cell>
        </row>
        <row r="181">
          <cell r="F181" t="str">
            <v xml:space="preserve"> تجديد وتمديد شبكة الصرف الصحي بقرية جبل ثامر</v>
          </cell>
          <cell r="G181" t="str">
            <v>الموارد المائية</v>
          </cell>
          <cell r="H181">
            <v>6000000</v>
          </cell>
          <cell r="J181" t="str">
            <v>الري</v>
          </cell>
        </row>
        <row r="182">
          <cell r="F182" t="str">
            <v>دراسة، متابعة وانجاز مطعم مدرسي 100 وجبة  بمدرسة الشهيد بتقة الخميسي بأولاد بوعبان</v>
          </cell>
          <cell r="G182" t="str">
            <v>التربية</v>
          </cell>
          <cell r="H182">
            <v>16000000</v>
          </cell>
          <cell r="J182" t="str">
            <v>البناء</v>
          </cell>
        </row>
        <row r="183">
          <cell r="F183" t="str">
            <v xml:space="preserve">انجاز مسالك فلاحية بعضلة العزري على مسافة 02 كلم  </v>
          </cell>
          <cell r="G183" t="str">
            <v>الفلاحة</v>
          </cell>
          <cell r="H183">
            <v>3000000</v>
          </cell>
          <cell r="J183" t="str">
            <v>الطرق</v>
          </cell>
        </row>
        <row r="184">
          <cell r="F184" t="str">
            <v>انجاز الانارة العمومية عبر قرى بلدية المعاريف</v>
          </cell>
          <cell r="G184" t="str">
            <v>التهيئة والتعمير</v>
          </cell>
          <cell r="H184">
            <v>1500000</v>
          </cell>
          <cell r="J184" t="str">
            <v>التهيئة</v>
          </cell>
        </row>
        <row r="185">
          <cell r="F185">
            <v>8</v>
          </cell>
          <cell r="H185">
            <v>46600000</v>
          </cell>
        </row>
        <row r="186">
          <cell r="F186" t="str">
            <v xml:space="preserve"> تجديد شبكة الصرف الصحي بالديالم</v>
          </cell>
          <cell r="G186" t="str">
            <v>الموارد المائية</v>
          </cell>
          <cell r="H186">
            <v>5500000</v>
          </cell>
          <cell r="J186" t="str">
            <v>الري</v>
          </cell>
        </row>
        <row r="187">
          <cell r="F187" t="str">
            <v xml:space="preserve"> تجديد شبكة الصرف الصحي بالرقايق</v>
          </cell>
          <cell r="G187" t="str">
            <v>الموارد المائية</v>
          </cell>
          <cell r="H187">
            <v>6000000</v>
          </cell>
          <cell r="J187" t="str">
            <v>الري</v>
          </cell>
        </row>
        <row r="188">
          <cell r="F188" t="str">
            <v>توسيع شبكة المياه الصالحة للشرب بالفركوسة الكحلة والرقايق</v>
          </cell>
          <cell r="G188" t="str">
            <v>الموارد المائية</v>
          </cell>
          <cell r="H188">
            <v>1500000</v>
          </cell>
          <cell r="J188" t="str">
            <v>الري</v>
          </cell>
        </row>
        <row r="189">
          <cell r="F189" t="str">
            <v xml:space="preserve">تعبيد بطبقتين طريق ضاية العجرم على مسافة 1,3 كلم الشطر الثاني  </v>
          </cell>
          <cell r="G189" t="str">
            <v>الاشغال العمومية</v>
          </cell>
          <cell r="H189">
            <v>11000000</v>
          </cell>
          <cell r="J189" t="str">
            <v>الطرق</v>
          </cell>
        </row>
        <row r="190">
          <cell r="F190" t="str">
            <v>انجاز جناح صحي بمدرسة المجاهد خطوطي مرزوق بالمرازقية</v>
          </cell>
          <cell r="G190" t="str">
            <v>التربية</v>
          </cell>
          <cell r="H190">
            <v>1600000</v>
          </cell>
          <cell r="J190" t="str">
            <v>البناء</v>
          </cell>
        </row>
        <row r="191">
          <cell r="F191" t="str">
            <v>تهيئة ساحة مدرسة ديلمي الغربي بالديالم</v>
          </cell>
          <cell r="G191" t="str">
            <v>التربية</v>
          </cell>
          <cell r="H191">
            <v>1700000</v>
          </cell>
          <cell r="J191" t="str">
            <v>البناء</v>
          </cell>
        </row>
        <row r="192">
          <cell r="F192" t="str">
            <v>تهيئة حضرية و تعبيد الشوارع بالزرارقة مركز</v>
          </cell>
          <cell r="G192" t="str">
            <v>التهيئة والتعمير</v>
          </cell>
          <cell r="H192">
            <v>11500000</v>
          </cell>
          <cell r="J192" t="str">
            <v>التهيئة</v>
          </cell>
        </row>
        <row r="193">
          <cell r="F193" t="str">
            <v xml:space="preserve">تجديد الانارة العمومية عبر قرى بلدية خطوطي سد الجير </v>
          </cell>
          <cell r="G193" t="str">
            <v>التهيئة والتعمير</v>
          </cell>
          <cell r="H193">
            <v>3000000</v>
          </cell>
          <cell r="J193" t="str">
            <v>التهيئة</v>
          </cell>
        </row>
        <row r="194">
          <cell r="F194" t="str">
            <v>تهيئة مدرسة شترة المداني بالشتران</v>
          </cell>
          <cell r="G194" t="str">
            <v>التربية</v>
          </cell>
          <cell r="H194">
            <v>5000000</v>
          </cell>
          <cell r="J194" t="str">
            <v>البناء</v>
          </cell>
        </row>
        <row r="195">
          <cell r="F195">
            <v>9</v>
          </cell>
          <cell r="H195">
            <v>46800000</v>
          </cell>
        </row>
        <row r="196">
          <cell r="F196">
            <v>35</v>
          </cell>
          <cell r="H196">
            <v>196300000</v>
          </cell>
        </row>
        <row r="197">
          <cell r="F197" t="str">
            <v>تجديد قناة المياه الصالحة للشرب بحي 01 نوفمبر 1954 بسيدي عيسى</v>
          </cell>
          <cell r="G197" t="str">
            <v>الموارد المائية</v>
          </cell>
          <cell r="H197">
            <v>11000000</v>
          </cell>
          <cell r="J197" t="str">
            <v>الري</v>
          </cell>
        </row>
        <row r="198">
          <cell r="F198" t="str">
            <v>دراسة و إنجاز قسمين 02 + جناح صحي + جناح إداري + جدار الإحاطة بدوار الموافيق كملحقة لمدرسة القوادرية بسيدي عيسى</v>
          </cell>
          <cell r="G198" t="str">
            <v>التربية</v>
          </cell>
          <cell r="H198">
            <v>14000000</v>
          </cell>
          <cell r="J198" t="str">
            <v>البناء</v>
          </cell>
        </row>
        <row r="199">
          <cell r="F199" t="str">
            <v>إنجاز ملعب جواري بالعشب الإصطناعي بحي محمد بوضياف بسيدي عيسى</v>
          </cell>
          <cell r="G199" t="str">
            <v>الشباب والرياضة</v>
          </cell>
          <cell r="H199">
            <v>31000000</v>
          </cell>
          <cell r="J199" t="str">
            <v>التهيئة</v>
          </cell>
        </row>
        <row r="200">
          <cell r="F200" t="str">
            <v>انجاز واصلاح وتمديد شبكة الصرف الصحي بحي الشهيد وهابي الحسين بقرية الجعافرة ببلدية سيدي عيسى</v>
          </cell>
          <cell r="G200" t="str">
            <v>الموارد المائية</v>
          </cell>
          <cell r="H200">
            <v>70554000</v>
          </cell>
          <cell r="I200" t="str">
            <v>تبليغ</v>
          </cell>
          <cell r="J200" t="str">
            <v>الري</v>
          </cell>
        </row>
        <row r="201">
          <cell r="F201">
            <v>4</v>
          </cell>
          <cell r="H201">
            <v>126554000</v>
          </cell>
        </row>
        <row r="202">
          <cell r="F202" t="str">
            <v xml:space="preserve"> تدعيم شبكة المياه الصالحة للشرب بيت العامري ببوطي السايح</v>
          </cell>
          <cell r="G202" t="str">
            <v>الموارد المائية</v>
          </cell>
          <cell r="H202">
            <v>4000000</v>
          </cell>
          <cell r="J202" t="str">
            <v>الري</v>
          </cell>
        </row>
        <row r="203">
          <cell r="F203" t="str">
            <v xml:space="preserve"> إصلاح شبكة المياه الصالحة للشرب لمداشر بوطي السايح</v>
          </cell>
          <cell r="G203" t="str">
            <v>الموارد المائية</v>
          </cell>
          <cell r="H203">
            <v>5000000</v>
          </cell>
          <cell r="J203" t="str">
            <v>الري</v>
          </cell>
        </row>
        <row r="204">
          <cell r="F204" t="str">
            <v>دراسة إنجاز خزان مائي مرتفع مع الربط  للجهة الشرقية لبوطي السايح</v>
          </cell>
          <cell r="G204" t="str">
            <v>الموارد المائية</v>
          </cell>
          <cell r="H204">
            <v>500000</v>
          </cell>
          <cell r="J204" t="str">
            <v>الري</v>
          </cell>
        </row>
        <row r="205">
          <cell r="F205" t="str">
            <v xml:space="preserve"> تمديد شبكة الصرف الصحي بذراع الزيوش ببوطي السايح</v>
          </cell>
          <cell r="G205" t="str">
            <v>الموارد المائية</v>
          </cell>
          <cell r="H205">
            <v>3000000</v>
          </cell>
          <cell r="J205" t="str">
            <v>الري</v>
          </cell>
        </row>
        <row r="206">
          <cell r="F206" t="str">
            <v>تهيئة مدرسة ونوغي النعيمي بأولاد علي بن داود ببوطي السايح</v>
          </cell>
          <cell r="G206" t="str">
            <v>التربية</v>
          </cell>
          <cell r="H206">
            <v>3000000</v>
          </cell>
          <cell r="J206" t="str">
            <v>التهيئة</v>
          </cell>
        </row>
        <row r="207">
          <cell r="F207" t="str">
            <v>تهيئة مدرسة براردي يحيى بضريبين ببوطي السايح</v>
          </cell>
          <cell r="G207" t="str">
            <v>التربية</v>
          </cell>
          <cell r="H207">
            <v>5000000</v>
          </cell>
          <cell r="J207" t="str">
            <v>التهيئة</v>
          </cell>
        </row>
        <row r="208">
          <cell r="F208" t="str">
            <v>تهيئة مدرسة مصطفى بن بولعيد  ببوطي السايح</v>
          </cell>
          <cell r="G208" t="str">
            <v>التربية</v>
          </cell>
          <cell r="H208">
            <v>1800000</v>
          </cell>
          <cell r="J208" t="str">
            <v>التهيئة</v>
          </cell>
        </row>
        <row r="209">
          <cell r="F209" t="str">
            <v>دراسة وإنجاز قسم 01 توسعة لمدرسة الحوالة ببوطي السايح</v>
          </cell>
          <cell r="G209" t="str">
            <v>التربية</v>
          </cell>
          <cell r="H209">
            <v>5000000</v>
          </cell>
          <cell r="J209" t="str">
            <v>البناء</v>
          </cell>
        </row>
        <row r="210">
          <cell r="F210" t="str">
            <v>تهيئة وتزفيت طريق المقبرة ببوطي السايح</v>
          </cell>
          <cell r="G210" t="str">
            <v>الاشغال العمومية</v>
          </cell>
          <cell r="H210">
            <v>9400000</v>
          </cell>
          <cell r="J210" t="str">
            <v>الطرق</v>
          </cell>
        </row>
        <row r="211">
          <cell r="F211" t="str">
            <v>فتح مسالك مع معبر مغمور بدوار القطفة ببوطي السايح</v>
          </cell>
          <cell r="G211" t="str">
            <v>الفلاحة</v>
          </cell>
          <cell r="H211">
            <v>3800000</v>
          </cell>
          <cell r="J211" t="str">
            <v>الطرق</v>
          </cell>
        </row>
        <row r="212">
          <cell r="F212" t="str">
            <v>فتح مسلك بدوار أولاد يحي بن عيسى ببوطي السايح</v>
          </cell>
          <cell r="G212" t="str">
            <v>الفلاحة</v>
          </cell>
          <cell r="H212">
            <v>3800000</v>
          </cell>
          <cell r="J212" t="str">
            <v>الطرق</v>
          </cell>
        </row>
        <row r="213">
          <cell r="F213" t="str">
            <v>فتح مسلك يربط دوار أولاد عيسى بن طيب بالطريق البلدي رقم 01 ببوطي السايح</v>
          </cell>
          <cell r="G213" t="str">
            <v>الفلاحة</v>
          </cell>
          <cell r="H213">
            <v>2400000</v>
          </cell>
          <cell r="J213" t="str">
            <v>الطرق</v>
          </cell>
        </row>
        <row r="214">
          <cell r="F214" t="str">
            <v>إعادة تهيئة 10 محلات تجارية غير مستغلة ببلدية بوطي السايح إلى 05 حجرات دراسية تستغل كملحقة لمتوسطة ضيف سلامي</v>
          </cell>
          <cell r="G214" t="str">
            <v>التربية</v>
          </cell>
          <cell r="H214">
            <v>17468152</v>
          </cell>
          <cell r="J214" t="str">
            <v>التهيئة</v>
          </cell>
        </row>
        <row r="215">
          <cell r="F215">
            <v>13</v>
          </cell>
          <cell r="H215">
            <v>64168152</v>
          </cell>
        </row>
        <row r="216">
          <cell r="F216" t="str">
            <v xml:space="preserve"> توسيع و إصلاح شبكة الصرف الصحي عبر أحياء بلدية بني يلمان</v>
          </cell>
          <cell r="G216" t="str">
            <v>الموارد المائية</v>
          </cell>
          <cell r="H216">
            <v>11000000</v>
          </cell>
          <cell r="J216" t="str">
            <v>الري</v>
          </cell>
        </row>
        <row r="217">
          <cell r="F217" t="str">
            <v xml:space="preserve"> إنجاز شبكة المياه الصالحة للشرب بدوار الجلف ببني يلمان</v>
          </cell>
          <cell r="G217" t="str">
            <v>الموارد المائية</v>
          </cell>
          <cell r="H217">
            <v>4000000</v>
          </cell>
          <cell r="J217" t="str">
            <v>الري</v>
          </cell>
        </row>
        <row r="218">
          <cell r="F218" t="str">
            <v>ترميم مدرسة الشهيد بن تريعة أحمد ببني يلمان</v>
          </cell>
          <cell r="G218" t="str">
            <v>التربية</v>
          </cell>
          <cell r="H218">
            <v>3000000</v>
          </cell>
          <cell r="J218" t="str">
            <v>البناء</v>
          </cell>
        </row>
        <row r="219">
          <cell r="F219" t="str">
            <v>ترميم مدرسة الشهيد شيشي محمد ببني يلمان</v>
          </cell>
          <cell r="G219" t="str">
            <v>التربية</v>
          </cell>
          <cell r="H219">
            <v>3000000</v>
          </cell>
          <cell r="J219" t="str">
            <v>البناء</v>
          </cell>
        </row>
        <row r="220">
          <cell r="F220" t="str">
            <v>ترميم + صيانة التدفئة المركزية لمدرسة الشهيد قويدر شيشي عمر ببني يلمان</v>
          </cell>
          <cell r="G220" t="str">
            <v>التربية</v>
          </cell>
          <cell r="H220">
            <v>4000000</v>
          </cell>
          <cell r="J220" t="str">
            <v>البناء</v>
          </cell>
        </row>
        <row r="221">
          <cell r="F221" t="str">
            <v>دراسة و انجاز الطريق الرابط بين حي محمد بوضياف و حي العقبة ببني يلمان</v>
          </cell>
          <cell r="G221" t="str">
            <v>الاشغال العمومية</v>
          </cell>
          <cell r="H221">
            <v>10915000</v>
          </cell>
          <cell r="J221" t="str">
            <v>الطرق</v>
          </cell>
        </row>
        <row r="222">
          <cell r="F222" t="str">
            <v>تهيئة الطريق الرابط بين حي الثورة و الطريق الوطني رقم 60 ببني يلمان</v>
          </cell>
          <cell r="G222" t="str">
            <v>الاشغال العمومية</v>
          </cell>
          <cell r="H222">
            <v>9086000</v>
          </cell>
          <cell r="J222" t="str">
            <v>الطرق</v>
          </cell>
        </row>
        <row r="223">
          <cell r="F223" t="str">
            <v>انجاز منشاة تعبئة للمياه الصالحة للشرب (بئر) ببلدية بني يلمان</v>
          </cell>
          <cell r="G223" t="str">
            <v>الموارد المائية</v>
          </cell>
          <cell r="H223">
            <v>25000000</v>
          </cell>
          <cell r="I223" t="str">
            <v>تبليغ بدون غلاف مالي</v>
          </cell>
          <cell r="J223" t="str">
            <v>الري</v>
          </cell>
        </row>
        <row r="224">
          <cell r="F224">
            <v>8</v>
          </cell>
          <cell r="H224">
            <v>70001000</v>
          </cell>
        </row>
        <row r="225">
          <cell r="F225">
            <v>25</v>
          </cell>
          <cell r="H225">
            <v>260723152</v>
          </cell>
        </row>
        <row r="226">
          <cell r="F226" t="str">
            <v>تكملة انجاز مقر البلدية الجديد</v>
          </cell>
          <cell r="G226" t="str">
            <v>بناية بلدية</v>
          </cell>
          <cell r="H226">
            <v>20000000</v>
          </cell>
          <cell r="J226" t="str">
            <v>البناء</v>
          </cell>
        </row>
        <row r="227">
          <cell r="F227" t="str">
            <v>تكملة التهيئة الحضرية للشارع الرئيسي بوسط المدينة</v>
          </cell>
          <cell r="G227" t="str">
            <v>التهيئة والتعمير</v>
          </cell>
          <cell r="H227">
            <v>19000000</v>
          </cell>
          <cell r="J227" t="str">
            <v>التهيئة</v>
          </cell>
        </row>
        <row r="228">
          <cell r="F228" t="str">
            <v>تهيئة مدرسة عبد الحميد بن باديس بعين الحجل</v>
          </cell>
          <cell r="G228" t="str">
            <v>التربية</v>
          </cell>
          <cell r="H228">
            <v>5260000</v>
          </cell>
          <cell r="J228" t="str">
            <v>التهيئة</v>
          </cell>
        </row>
        <row r="229">
          <cell r="F229" t="str">
            <v>انجاز الطريق الرابط بين مدرسة الجسور الثمانية  بالطريق الوطني رقم 08 على مسافة 1,1 كم</v>
          </cell>
          <cell r="G229" t="str">
            <v>الاشغال العمومية</v>
          </cell>
          <cell r="H229">
            <v>10000000</v>
          </cell>
          <cell r="J229" t="str">
            <v>الطرق</v>
          </cell>
        </row>
        <row r="230">
          <cell r="F230" t="str">
            <v>تدعيم الطريق الوطني رقم 08 وسط مدينة عين الحجل على مسافة 2,5 كلم</v>
          </cell>
          <cell r="G230" t="str">
            <v>الاشغال العمومية</v>
          </cell>
          <cell r="H230">
            <v>120000000</v>
          </cell>
          <cell r="J230" t="str">
            <v>الطرق</v>
          </cell>
        </row>
        <row r="231">
          <cell r="F231">
            <v>5</v>
          </cell>
          <cell r="H231">
            <v>174260000</v>
          </cell>
        </row>
        <row r="232">
          <cell r="F232" t="str">
            <v>دراسة و انجاز قاعة علاج بمنطقة اولاد عمرة</v>
          </cell>
          <cell r="G232" t="str">
            <v>الصحة</v>
          </cell>
          <cell r="H232">
            <v>11900000</v>
          </cell>
          <cell r="J232" t="str">
            <v>البناء</v>
          </cell>
        </row>
        <row r="233">
          <cell r="F233" t="str">
            <v>انجاز الطريق الرابط بين التجمعات السكنية لاولاد عيشة و الطريق البلدي اولاد عمرة-اولاد مولاهم على مسافة 02 كم(الشطرالأول)</v>
          </cell>
          <cell r="G233" t="str">
            <v>الاشغال العمومية</v>
          </cell>
          <cell r="H233">
            <v>17500000</v>
          </cell>
          <cell r="J233" t="str">
            <v>الطرق</v>
          </cell>
        </row>
        <row r="234">
          <cell r="F234" t="str">
            <v>اصلاح و توسيع الانارة العمومية عبر احياء بلدية سيدي هجرس</v>
          </cell>
          <cell r="G234" t="str">
            <v>التهيئة والتعمير</v>
          </cell>
          <cell r="H234">
            <v>5860000</v>
          </cell>
          <cell r="J234" t="str">
            <v>التهيئة</v>
          </cell>
        </row>
        <row r="235">
          <cell r="F235" t="str">
            <v>تهيئة مدرسة العلامة عبد الحميد ابن باديس</v>
          </cell>
          <cell r="G235" t="str">
            <v>التربية</v>
          </cell>
          <cell r="H235">
            <v>7000000</v>
          </cell>
          <cell r="J235" t="str">
            <v>التهيئة</v>
          </cell>
        </row>
        <row r="236">
          <cell r="F236" t="str">
            <v>تهيئة مدرسة الشهيد بن حبرية سعد الله اولاد ثاقب</v>
          </cell>
          <cell r="G236" t="str">
            <v>التربية</v>
          </cell>
          <cell r="H236">
            <v>3500000</v>
          </cell>
          <cell r="J236" t="str">
            <v>التهيئة</v>
          </cell>
        </row>
        <row r="237">
          <cell r="F237" t="str">
            <v>تجديد جزء من شبكة الصرف الصحي بحي 300 مسكن</v>
          </cell>
          <cell r="G237" t="str">
            <v>الموارد المائية</v>
          </cell>
          <cell r="H237">
            <v>3000000</v>
          </cell>
          <cell r="J237" t="str">
            <v>الري</v>
          </cell>
        </row>
        <row r="238">
          <cell r="F238">
            <v>6</v>
          </cell>
          <cell r="H238">
            <v>48760000</v>
          </cell>
        </row>
        <row r="239">
          <cell r="F239">
            <v>11</v>
          </cell>
          <cell r="H239">
            <v>223020000</v>
          </cell>
        </row>
        <row r="240">
          <cell r="F240" t="str">
            <v xml:space="preserve"> تجديد شبكة المياه الصالحة للشرب بحي الهضبة</v>
          </cell>
          <cell r="G240" t="str">
            <v>الموارد المائية</v>
          </cell>
          <cell r="H240">
            <v>20000000</v>
          </cell>
          <cell r="J240" t="str">
            <v>الري</v>
          </cell>
        </row>
        <row r="241">
          <cell r="F241" t="str">
            <v>تهيئة الطريق السياحي من الطريق الولائي رقم: 05 نحو الأحياء المجاورة</v>
          </cell>
          <cell r="G241" t="str">
            <v>التهيئة والتعمير</v>
          </cell>
          <cell r="H241">
            <v>9000000</v>
          </cell>
          <cell r="J241" t="str">
            <v>التهيئة</v>
          </cell>
        </row>
        <row r="242">
          <cell r="F242" t="str">
            <v>تجهيز قاعة علاج بمعذر الرقبة</v>
          </cell>
          <cell r="G242" t="str">
            <v>الصحة</v>
          </cell>
          <cell r="H242">
            <v>1000000</v>
          </cell>
          <cell r="J242" t="str">
            <v>البناء</v>
          </cell>
        </row>
        <row r="243">
          <cell r="F243" t="str">
            <v>تهيئة منشأة ادارية بحي سيدي سليمان</v>
          </cell>
          <cell r="G243" t="str">
            <v>بناية بلدية</v>
          </cell>
          <cell r="H243">
            <v>8000000</v>
          </cell>
          <cell r="J243" t="str">
            <v>التهيئة</v>
          </cell>
        </row>
        <row r="244">
          <cell r="F244" t="str">
            <v>دراسة و إنجاز مكتب بريدي + سكن بحي ميطر</v>
          </cell>
          <cell r="G244" t="str">
            <v xml:space="preserve">البريد </v>
          </cell>
          <cell r="H244">
            <v>17000000</v>
          </cell>
          <cell r="J244" t="str">
            <v>البناء</v>
          </cell>
        </row>
        <row r="245">
          <cell r="F245" t="str">
            <v>تجديد تجهيزات الضخ لابار المدينة الجديدة ومحطة الضخ الرئيسية</v>
          </cell>
          <cell r="G245" t="str">
            <v>الموارد المائية</v>
          </cell>
          <cell r="H245">
            <v>14485000</v>
          </cell>
          <cell r="I245" t="str">
            <v>تبليغ</v>
          </cell>
          <cell r="J245" t="str">
            <v>الري</v>
          </cell>
        </row>
        <row r="246">
          <cell r="F246" t="str">
            <v>تجديد قناة المياه الصالحة للشرب لشوارع يحياوي محمد وشايبي احمد ولقيطي المسعود بحي 17 جوان</v>
          </cell>
          <cell r="G246" t="str">
            <v>الموارد المائية</v>
          </cell>
          <cell r="H246">
            <v>866000</v>
          </cell>
          <cell r="I246" t="str">
            <v>تبليغ</v>
          </cell>
          <cell r="J246" t="str">
            <v>الري</v>
          </cell>
        </row>
        <row r="247">
          <cell r="F247" t="str">
            <v>تجديد شبكة الصرف الصحي لشوارع يحياوي محمد وشايبي احمد ولقيطي مسعود بحي 17 جوان بوسعادة</v>
          </cell>
          <cell r="G247" t="str">
            <v>الموارد المائية</v>
          </cell>
          <cell r="H247">
            <v>6000000</v>
          </cell>
          <cell r="I247" t="str">
            <v>تبليغ</v>
          </cell>
          <cell r="J247" t="str">
            <v>الري</v>
          </cell>
        </row>
        <row r="248">
          <cell r="F248" t="str">
            <v>تجديد جزء من المجمع الرئيسي للتطهير بجانب جسر الطريق الوطني رقم 46</v>
          </cell>
          <cell r="G248" t="str">
            <v>الموارد المائية</v>
          </cell>
          <cell r="H248">
            <v>17804000</v>
          </cell>
          <cell r="I248" t="str">
            <v>تبليغ</v>
          </cell>
          <cell r="J248" t="str">
            <v>الري</v>
          </cell>
        </row>
        <row r="249">
          <cell r="F249">
            <v>9</v>
          </cell>
          <cell r="H249">
            <v>94155000</v>
          </cell>
        </row>
        <row r="250">
          <cell r="F250" t="str">
            <v xml:space="preserve">تهيئة منشأة ادارية بطريق عين الملح </v>
          </cell>
          <cell r="G250" t="str">
            <v>بناية بلدية</v>
          </cell>
          <cell r="H250">
            <v>10000000</v>
          </cell>
          <cell r="J250" t="str">
            <v>التهيئة</v>
          </cell>
        </row>
        <row r="251">
          <cell r="F251" t="str">
            <v xml:space="preserve"> إنجاز شبكة المياه الصالحة للشرب بحي هواري بومدين و شارع بونيف الهادي و بجانب جسر مدخل المدينة</v>
          </cell>
          <cell r="G251" t="str">
            <v>الموارد المائية</v>
          </cell>
          <cell r="H251">
            <v>7000000</v>
          </cell>
          <cell r="J251" t="str">
            <v>الري</v>
          </cell>
        </row>
        <row r="252">
          <cell r="F252" t="str">
            <v>إنجاز شبكة المياه الصاحة للشرب بحي مصطفى بن بولعيد</v>
          </cell>
          <cell r="G252" t="str">
            <v>الموارد المائية</v>
          </cell>
          <cell r="H252">
            <v>3500000</v>
          </cell>
          <cell r="J252" t="str">
            <v>الري</v>
          </cell>
        </row>
        <row r="253">
          <cell r="F253" t="str">
            <v xml:space="preserve"> إنجاز شبكة الصرف الصحي بحي اولاد سايب</v>
          </cell>
          <cell r="G253" t="str">
            <v>الموارد المائية</v>
          </cell>
          <cell r="H253">
            <v>4000000</v>
          </cell>
          <cell r="J253" t="str">
            <v>الري</v>
          </cell>
        </row>
        <row r="254">
          <cell r="F254" t="str">
            <v>إنجاز شبكة الصرف الصحي بحي بوجمعة سويداني</v>
          </cell>
          <cell r="G254" t="str">
            <v>الموارد المائية</v>
          </cell>
          <cell r="H254">
            <v>4100000</v>
          </cell>
          <cell r="J254" t="str">
            <v>الري</v>
          </cell>
        </row>
        <row r="255">
          <cell r="F255" t="str">
            <v>انجاز شبكة المياه الصالحة للشرب بشارع لطرش المبروك الحي الجديد</v>
          </cell>
          <cell r="G255" t="str">
            <v>الموارد المائية</v>
          </cell>
          <cell r="H255">
            <v>2400000</v>
          </cell>
          <cell r="J255" t="str">
            <v>الري</v>
          </cell>
        </row>
        <row r="256">
          <cell r="F256" t="str">
            <v>انجاز ساحة لعب بالعشب الإصطناعي بحي رأس العين</v>
          </cell>
          <cell r="G256" t="str">
            <v>الشباب والرياضة</v>
          </cell>
          <cell r="H256">
            <v>14000000</v>
          </cell>
          <cell r="J256" t="str">
            <v>التهيئة</v>
          </cell>
        </row>
        <row r="257">
          <cell r="F257">
            <v>7</v>
          </cell>
          <cell r="H257">
            <v>45000000</v>
          </cell>
        </row>
        <row r="258">
          <cell r="F258" t="str">
            <v xml:space="preserve"> تجديد و توسيع شبكة الصرف الصحي بولتام المركزي</v>
          </cell>
          <cell r="G258" t="str">
            <v>الموارد المائية</v>
          </cell>
          <cell r="H258">
            <v>12000000</v>
          </cell>
          <cell r="J258" t="str">
            <v>الري</v>
          </cell>
        </row>
        <row r="259">
          <cell r="F259" t="str">
            <v>تجديد و توسيع شبكة الصرف الصحي بالعليق</v>
          </cell>
          <cell r="G259" t="str">
            <v>الموارد المائية</v>
          </cell>
          <cell r="H259">
            <v>12000000</v>
          </cell>
          <cell r="J259" t="str">
            <v>الري</v>
          </cell>
        </row>
        <row r="260">
          <cell r="F260" t="str">
            <v>دراسة و إنجاز 03 أقسام توسعة بالمجمع المدرسي الجديد بولتام المركزي</v>
          </cell>
          <cell r="G260" t="str">
            <v>التربية</v>
          </cell>
          <cell r="H260">
            <v>12000000</v>
          </cell>
          <cell r="J260" t="str">
            <v>البناء</v>
          </cell>
        </row>
        <row r="261">
          <cell r="F261" t="str">
            <v>تكملة إنجاز الإنارة العمومية بنظام LED من مقر الفرقة الإقليمية للدرك الوطني إلى غاية معذر القزاز الطريق الوطني رقم 46 (الشطر الأول)</v>
          </cell>
          <cell r="G261" t="str">
            <v>التهيئة والتعمير</v>
          </cell>
          <cell r="H261">
            <v>9000000</v>
          </cell>
          <cell r="J261" t="str">
            <v>التهيئة</v>
          </cell>
        </row>
        <row r="262">
          <cell r="F262" t="str">
            <v>اقتناء مضخة غاطسة خاصة بنقب معذر القزاز بلدية ولتام</v>
          </cell>
          <cell r="G262" t="str">
            <v>الموارد المائية</v>
          </cell>
          <cell r="H262">
            <v>417000</v>
          </cell>
          <cell r="I262" t="str">
            <v>تبليغ</v>
          </cell>
          <cell r="J262" t="str">
            <v>الري</v>
          </cell>
        </row>
        <row r="263">
          <cell r="F263">
            <v>5</v>
          </cell>
          <cell r="H263">
            <v>45417000</v>
          </cell>
        </row>
        <row r="264">
          <cell r="F264">
            <v>21</v>
          </cell>
          <cell r="H264">
            <v>184572000</v>
          </cell>
        </row>
        <row r="265">
          <cell r="F265" t="str">
            <v xml:space="preserve">دراسة و تشخيص حماية بلدية اولاد سيدي ابراهيم من الفيضانات( مع تهيئة الاودية و الشعاب ) </v>
          </cell>
          <cell r="G265" t="str">
            <v>الموارد المائية</v>
          </cell>
          <cell r="H265">
            <v>2100000</v>
          </cell>
          <cell r="J265" t="str">
            <v>الري</v>
          </cell>
        </row>
        <row r="266">
          <cell r="F266" t="str">
            <v xml:space="preserve"> توسيع شبكة المياه الصالحة للشرب بقرية محمد الصديق بن يحيى</v>
          </cell>
          <cell r="G266" t="str">
            <v>الموارد المائية</v>
          </cell>
          <cell r="H266">
            <v>3370000</v>
          </cell>
          <cell r="J266" t="str">
            <v>الري</v>
          </cell>
        </row>
        <row r="267">
          <cell r="F267" t="str">
            <v xml:space="preserve">تجديد و توسيع شبكة المياه الصالحة للشرب بتجمع لوبير و بئر الصديق مع اعادة تأهيل القناة الرئيسية انطلاقا من خزان لوبير وربطه بالشبكة </v>
          </cell>
          <cell r="G267" t="str">
            <v>الموارد المائية</v>
          </cell>
          <cell r="H267">
            <v>14450000</v>
          </cell>
          <cell r="J267" t="str">
            <v>الري</v>
          </cell>
        </row>
        <row r="268">
          <cell r="F268" t="str">
            <v>تجديد و توسيع شبكة الصرف الصحي عبر تجمعات       ( عين الديس، لوبير ، بئر الصديق و قرية محمد الصديق بن يحيى )</v>
          </cell>
          <cell r="G268" t="str">
            <v>الموارد المائية</v>
          </cell>
          <cell r="H268">
            <v>11610000</v>
          </cell>
          <cell r="J268" t="str">
            <v>الري</v>
          </cell>
        </row>
        <row r="269">
          <cell r="F269" t="str">
            <v xml:space="preserve">تكملة توسعة شبكة الصرف الصحي بحي الشهداء </v>
          </cell>
          <cell r="G269" t="str">
            <v>الموارد المائية</v>
          </cell>
          <cell r="H269">
            <v>6000000</v>
          </cell>
          <cell r="J269" t="str">
            <v>الري</v>
          </cell>
        </row>
        <row r="270">
          <cell r="F270" t="str">
            <v xml:space="preserve">اشغال تهيئة بمقر البلدية </v>
          </cell>
          <cell r="G270" t="str">
            <v>بناية بلدية</v>
          </cell>
          <cell r="H270">
            <v>4300000</v>
          </cell>
          <cell r="J270" t="str">
            <v>البناء</v>
          </cell>
        </row>
        <row r="271">
          <cell r="F271" t="str">
            <v>تعبيد الطرق لحي المنظر الجميل شطر رقم 1</v>
          </cell>
          <cell r="G271" t="str">
            <v>الاشغال العمومية</v>
          </cell>
          <cell r="H271">
            <v>11950000</v>
          </cell>
          <cell r="J271" t="str">
            <v>الطرق</v>
          </cell>
        </row>
        <row r="272">
          <cell r="F272" t="str">
            <v>أشغال الحماية و الامان بجسر وادي بئر الصديق</v>
          </cell>
          <cell r="G272" t="str">
            <v>الاشغال العمومية</v>
          </cell>
          <cell r="H272">
            <v>1768000</v>
          </cell>
          <cell r="J272" t="str">
            <v>الطرق</v>
          </cell>
        </row>
        <row r="273">
          <cell r="F273">
            <v>8</v>
          </cell>
          <cell r="H273">
            <v>55548000</v>
          </cell>
        </row>
        <row r="274">
          <cell r="F274" t="str">
            <v xml:space="preserve"> دراسة و تشخيص حماية بلدية  بنزوه من الفيضانات(مع تهيئة الاودية و الشعاب ) </v>
          </cell>
          <cell r="G274" t="str">
            <v>الموارد المائية</v>
          </cell>
          <cell r="H274">
            <v>2100000</v>
          </cell>
          <cell r="J274" t="str">
            <v>الري</v>
          </cell>
        </row>
        <row r="275">
          <cell r="F275" t="str">
            <v xml:space="preserve"> تجديد و توسيع  شبكة الصرف الصحي مع رفع المصب بحي المراحات 1 </v>
          </cell>
          <cell r="G275" t="str">
            <v>الموارد المائية</v>
          </cell>
          <cell r="H275">
            <v>5685000</v>
          </cell>
          <cell r="J275" t="str">
            <v>الري</v>
          </cell>
        </row>
        <row r="276">
          <cell r="F276" t="str">
            <v xml:space="preserve"> تجديد و توسيع شبكة الصرف الصحي بحي الدشرة </v>
          </cell>
          <cell r="G276" t="str">
            <v>الموارد المائية</v>
          </cell>
          <cell r="H276">
            <v>3884000</v>
          </cell>
          <cell r="J276" t="str">
            <v>الري</v>
          </cell>
        </row>
        <row r="277">
          <cell r="F277" t="str">
            <v>توسيع شبكة الصرف الصحي بالحي الجديد بعين خرمام</v>
          </cell>
          <cell r="G277" t="str">
            <v>الموارد المائية</v>
          </cell>
          <cell r="H277">
            <v>3957000</v>
          </cell>
          <cell r="J277" t="str">
            <v>الري</v>
          </cell>
        </row>
        <row r="278">
          <cell r="F278" t="str">
            <v>انجاز وتجهيز بئر استخلافي بذراع الطين</v>
          </cell>
          <cell r="G278" t="str">
            <v>الموارد المائية</v>
          </cell>
          <cell r="H278">
            <v>12000000</v>
          </cell>
          <cell r="J278" t="str">
            <v>الري</v>
          </cell>
        </row>
        <row r="279">
          <cell r="F279" t="str">
            <v xml:space="preserve">تهيئة حضرية بحي البلدية ببنزوه </v>
          </cell>
          <cell r="G279" t="str">
            <v>التهيئة والتعمير</v>
          </cell>
          <cell r="H279">
            <v>11950000</v>
          </cell>
          <cell r="J279" t="str">
            <v>التهيئة</v>
          </cell>
        </row>
        <row r="280">
          <cell r="F280" t="str">
            <v xml:space="preserve">الربط بغاز البروبان بمدرسة العقيد لطفي </v>
          </cell>
          <cell r="G280" t="str">
            <v>التربية</v>
          </cell>
          <cell r="H280">
            <v>1200000</v>
          </cell>
          <cell r="J280" t="str">
            <v>طاقة</v>
          </cell>
        </row>
        <row r="281">
          <cell r="F281" t="str">
            <v xml:space="preserve"> انجاز منشأة قنوية بالطريق الرباط بين الطريق الوطني رقم 08 و منطقة معذر بن عدل</v>
          </cell>
          <cell r="G281" t="str">
            <v>الاشغال العمومية</v>
          </cell>
          <cell r="H281">
            <v>4400000</v>
          </cell>
          <cell r="J281" t="str">
            <v>الطرق</v>
          </cell>
        </row>
        <row r="282">
          <cell r="F282" t="str">
            <v>حماية جسر واد لقصاني من خطر الفيضانات</v>
          </cell>
          <cell r="G282" t="str">
            <v>الاشغال العمومية</v>
          </cell>
          <cell r="H282">
            <v>1500000</v>
          </cell>
          <cell r="J282" t="str">
            <v>الطرق</v>
          </cell>
        </row>
        <row r="283">
          <cell r="F283">
            <v>9</v>
          </cell>
          <cell r="H283">
            <v>46676000</v>
          </cell>
        </row>
        <row r="284">
          <cell r="F284">
            <v>17</v>
          </cell>
          <cell r="H284">
            <v>102224000</v>
          </cell>
        </row>
        <row r="285">
          <cell r="F285" t="str">
            <v xml:space="preserve">مراقبة وانجاز قنوات الجلب والتوزيع وربطها بالخزان الجديد لبلدية سيدي عامر </v>
          </cell>
          <cell r="G285" t="str">
            <v>الموارد المائية</v>
          </cell>
          <cell r="H285">
            <v>9500000</v>
          </cell>
          <cell r="J285" t="str">
            <v>الري</v>
          </cell>
        </row>
        <row r="286">
          <cell r="F286" t="str">
            <v>توسيع شبكة الصرف الصحي بحي الوئام،</v>
          </cell>
          <cell r="G286" t="str">
            <v>الموارد المائية</v>
          </cell>
          <cell r="H286">
            <v>6000000</v>
          </cell>
          <cell r="J286" t="str">
            <v>الري</v>
          </cell>
        </row>
        <row r="287">
          <cell r="F287" t="str">
            <v xml:space="preserve"> تجديد  وتوسيع شبكة الصرف الصحي عبر أحياء: حي عبد السلام حباشي وحي حسيبة بن بوعلي "الشطر الاول"</v>
          </cell>
          <cell r="G287" t="str">
            <v>الموارد المائية</v>
          </cell>
          <cell r="H287">
            <v>12000000</v>
          </cell>
          <cell r="J287" t="str">
            <v>الري</v>
          </cell>
        </row>
        <row r="288">
          <cell r="F288" t="str">
            <v>توسعة شبكة الإنارة العمومية عبر أحياء مدينة سيدي عامر</v>
          </cell>
          <cell r="G288" t="str">
            <v>التهيئة والتعمير</v>
          </cell>
          <cell r="H288">
            <v>6000000</v>
          </cell>
          <cell r="J288" t="str">
            <v>التهيئة</v>
          </cell>
        </row>
        <row r="289">
          <cell r="F289" t="str">
            <v>دراسة وانجاز معبرين : معبر بحي العقيد لطفي ومعبر يربط حي بوزيدي رابح وحي 05 جويلية 1962</v>
          </cell>
          <cell r="G289" t="str">
            <v>الاشغال العمومية</v>
          </cell>
          <cell r="H289">
            <v>12000000</v>
          </cell>
          <cell r="J289" t="str">
            <v>الطرق</v>
          </cell>
        </row>
        <row r="290">
          <cell r="F290" t="str">
            <v xml:space="preserve">تهيئة وتعبيد الطريق الرابط بين حي الاستقلال والعيادة متعددة الخدمات </v>
          </cell>
          <cell r="G290" t="str">
            <v>الاشغال العمومية</v>
          </cell>
          <cell r="H290">
            <v>10000000</v>
          </cell>
          <cell r="J290" t="str">
            <v>الطرق</v>
          </cell>
        </row>
        <row r="291">
          <cell r="F291" t="str">
            <v>اقتناء مضخات غاطسة</v>
          </cell>
          <cell r="G291" t="str">
            <v>الموارد المائية</v>
          </cell>
          <cell r="H291">
            <v>3000000</v>
          </cell>
          <cell r="J291" t="str">
            <v>الري</v>
          </cell>
        </row>
        <row r="292">
          <cell r="F292" t="str">
            <v xml:space="preserve">تكملة انجاز شبكة الصرف الصحي لحي الياس دريش </v>
          </cell>
          <cell r="G292" t="str">
            <v>الموارد المائية</v>
          </cell>
          <cell r="H292">
            <v>5500000</v>
          </cell>
          <cell r="I292" t="str">
            <v>ملغاة</v>
          </cell>
          <cell r="J292" t="str">
            <v>الري</v>
          </cell>
        </row>
        <row r="293">
          <cell r="F293">
            <v>8</v>
          </cell>
          <cell r="H293">
            <v>64000000</v>
          </cell>
        </row>
        <row r="294">
          <cell r="F294" t="str">
            <v xml:space="preserve">بناء سور وتهيئة الساحة لملحقة عبد المجيد الخضراوي بمنطقة بن السايب </v>
          </cell>
          <cell r="G294" t="str">
            <v>التربية</v>
          </cell>
          <cell r="H294">
            <v>12000000</v>
          </cell>
          <cell r="J294" t="str">
            <v>البناء</v>
          </cell>
        </row>
        <row r="295">
          <cell r="F295" t="str">
            <v>تجديد وتوسيع شبكة الصرف الصحي عبر أحياء تامسة: الحي الجنوبي والحي الشمالي</v>
          </cell>
          <cell r="G295" t="str">
            <v>الموارد المائية</v>
          </cell>
          <cell r="H295">
            <v>8500000</v>
          </cell>
          <cell r="J295" t="str">
            <v>الري</v>
          </cell>
        </row>
        <row r="296">
          <cell r="F296" t="str">
            <v>انجاز شبكة توزيع المياه الصالحة للشرب وربطها بخزان وجه زمرة</v>
          </cell>
          <cell r="G296" t="str">
            <v>الموارد المائية</v>
          </cell>
          <cell r="H296">
            <v>6000000</v>
          </cell>
          <cell r="J296" t="str">
            <v>الري</v>
          </cell>
        </row>
        <row r="297">
          <cell r="F297" t="str">
            <v xml:space="preserve">تهيئة الطريق الرابط بين الكرمة والبطمات على مسافة 1.25 كم </v>
          </cell>
          <cell r="G297" t="str">
            <v>الاشغال العمومية</v>
          </cell>
          <cell r="H297">
            <v>12000000</v>
          </cell>
          <cell r="J297" t="str">
            <v>الطرق</v>
          </cell>
        </row>
        <row r="298">
          <cell r="F298" t="str">
            <v>تهيئة وتعبيد شارع رابح بطاط</v>
          </cell>
          <cell r="G298" t="str">
            <v>التهيئة والتعمير</v>
          </cell>
          <cell r="H298">
            <v>11000000</v>
          </cell>
          <cell r="J298" t="str">
            <v>التهيئة</v>
          </cell>
        </row>
        <row r="299">
          <cell r="F299" t="str">
            <v>اقتناء مضخات غاطسة</v>
          </cell>
          <cell r="G299" t="str">
            <v>الموارد المائية</v>
          </cell>
          <cell r="H299">
            <v>3000000</v>
          </cell>
          <cell r="J299" t="str">
            <v>الري</v>
          </cell>
        </row>
        <row r="300">
          <cell r="F300">
            <v>6</v>
          </cell>
          <cell r="H300">
            <v>52500000</v>
          </cell>
        </row>
        <row r="301">
          <cell r="F301">
            <v>14</v>
          </cell>
          <cell r="H301">
            <v>116500000</v>
          </cell>
        </row>
        <row r="302">
          <cell r="F302" t="str">
            <v>دراسة ومتابعة وانجاز 06  اقسام + جدار احاطة بحي القدس</v>
          </cell>
          <cell r="G302" t="str">
            <v>التربية</v>
          </cell>
          <cell r="H302">
            <v>27500000</v>
          </cell>
          <cell r="J302" t="str">
            <v>البناء</v>
          </cell>
        </row>
        <row r="303">
          <cell r="F303" t="str">
            <v>دراسة ومتابعة وانجاز 06 اقسام + جدار احاطة بحي لالة فاطمة نسومر</v>
          </cell>
          <cell r="G303" t="str">
            <v>التربية</v>
          </cell>
          <cell r="H303">
            <v>27500000</v>
          </cell>
          <cell r="J303" t="str">
            <v>البناء</v>
          </cell>
        </row>
        <row r="304">
          <cell r="F304">
            <v>2</v>
          </cell>
          <cell r="H304">
            <v>55000000</v>
          </cell>
        </row>
        <row r="305">
          <cell r="F305" t="str">
            <v xml:space="preserve">دراسة ومتابعة وانجاز و تجهيز  تنقيب بمنطقة البساتين </v>
          </cell>
          <cell r="G305" t="str">
            <v>الموارد المائية</v>
          </cell>
          <cell r="H305">
            <v>16000000</v>
          </cell>
          <cell r="J305" t="str">
            <v>الري</v>
          </cell>
        </row>
        <row r="306">
          <cell r="F306" t="str">
            <v xml:space="preserve">تجديد وتوسيع شبكة المياه الصالحة للشرب  باحياء عاشور زيان + محمد شعباني  +  المويلح الشرقي </v>
          </cell>
          <cell r="G306" t="str">
            <v>الموارد المائية</v>
          </cell>
          <cell r="H306">
            <v>5000000</v>
          </cell>
          <cell r="J306" t="str">
            <v>الري</v>
          </cell>
        </row>
        <row r="307">
          <cell r="F307" t="str">
            <v xml:space="preserve"> دراسة ومتابعة تجديد وتوسيع شبكة الصرف الصحي باحياء عاشور زيان  + محمد شعباني  + المويلح الشرقي </v>
          </cell>
          <cell r="G307" t="str">
            <v>الموارد المائية</v>
          </cell>
          <cell r="H307">
            <v>11000000</v>
          </cell>
          <cell r="J307" t="str">
            <v>الري</v>
          </cell>
        </row>
        <row r="308">
          <cell r="F308" t="str">
            <v>دراسة ومتابعة وانجاز قاعة علاج بمنطقة السيلة</v>
          </cell>
          <cell r="G308" t="str">
            <v>الصحة</v>
          </cell>
          <cell r="H308">
            <v>8000000</v>
          </cell>
          <cell r="J308" t="str">
            <v>البناء</v>
          </cell>
        </row>
        <row r="309">
          <cell r="F309" t="str">
            <v xml:space="preserve"> اقتناء تجهيزات الري </v>
          </cell>
          <cell r="G309" t="str">
            <v>الموارد المائية</v>
          </cell>
          <cell r="H309">
            <v>5000000</v>
          </cell>
          <cell r="J309" t="str">
            <v>الري</v>
          </cell>
        </row>
        <row r="310">
          <cell r="F310" t="str">
            <v>دراسة ومتابعة وانجاز منشاة ادارية بمنطقة قمرة</v>
          </cell>
          <cell r="G310" t="str">
            <v>بناية بلدية</v>
          </cell>
          <cell r="H310">
            <v>33210000</v>
          </cell>
          <cell r="I310" t="str">
            <v>تبليغ</v>
          </cell>
          <cell r="J310" t="str">
            <v>البناء</v>
          </cell>
        </row>
        <row r="311">
          <cell r="F311" t="str">
            <v>انجاز شبكة المياه الصالحة للشرب بحي العائدون بلدية عين الريش</v>
          </cell>
          <cell r="G311" t="str">
            <v>الموارد المائية</v>
          </cell>
          <cell r="H311">
            <v>2991000</v>
          </cell>
          <cell r="I311" t="str">
            <v>تبليغ</v>
          </cell>
          <cell r="J311" t="str">
            <v>الري</v>
          </cell>
        </row>
        <row r="312">
          <cell r="F312">
            <v>7</v>
          </cell>
          <cell r="H312">
            <v>81201000</v>
          </cell>
        </row>
        <row r="313">
          <cell r="F313" t="str">
            <v xml:space="preserve"> ربط بئر المقيطع  ببلدية بئر الفضة بشبكة الكهرباء</v>
          </cell>
          <cell r="G313" t="str">
            <v>الموارد المائية</v>
          </cell>
          <cell r="H313">
            <v>5200000</v>
          </cell>
          <cell r="J313" t="str">
            <v>الري</v>
          </cell>
        </row>
        <row r="314">
          <cell r="F314" t="str">
            <v>دراسة ومتابعة وانجاز مسلك فلاحي يربط بين ط و 70 الى غاية تجمع الحشف على مسافة05 كم</v>
          </cell>
          <cell r="G314" t="str">
            <v>الفلاحة</v>
          </cell>
          <cell r="H314">
            <v>8000000</v>
          </cell>
          <cell r="J314" t="str">
            <v>الطرق</v>
          </cell>
        </row>
        <row r="315">
          <cell r="F315" t="str">
            <v xml:space="preserve">تهيئة حضرية بوسط  مدينة بئر الفضة </v>
          </cell>
          <cell r="G315" t="str">
            <v>التهيئة والتعمير</v>
          </cell>
          <cell r="H315">
            <v>16000000</v>
          </cell>
          <cell r="J315" t="str">
            <v>التهيئة</v>
          </cell>
        </row>
        <row r="316">
          <cell r="F316" t="str">
            <v xml:space="preserve">انجاز شبكة المياه الصالحة للشرب بمنطقة التليلة + تيغرازين </v>
          </cell>
          <cell r="G316" t="str">
            <v>الموارد المائية</v>
          </cell>
          <cell r="H316">
            <v>6000000</v>
          </cell>
          <cell r="J316" t="str">
            <v>الري</v>
          </cell>
        </row>
        <row r="317">
          <cell r="F317" t="str">
            <v xml:space="preserve"> انجاز شبكة الصرف الصحي بمنطقة التليلة + المقيطع </v>
          </cell>
          <cell r="G317" t="str">
            <v>الموارد المائية</v>
          </cell>
          <cell r="H317">
            <v>7000000</v>
          </cell>
          <cell r="J317" t="str">
            <v>الري</v>
          </cell>
        </row>
        <row r="318">
          <cell r="F318" t="str">
            <v xml:space="preserve"> اقتناء تجهيزات الري </v>
          </cell>
          <cell r="G318" t="str">
            <v>الموارد المائية</v>
          </cell>
          <cell r="H318">
            <v>2000000</v>
          </cell>
          <cell r="J318" t="str">
            <v>الري</v>
          </cell>
        </row>
        <row r="319">
          <cell r="F319" t="str">
            <v xml:space="preserve">صيانة الممر المغمور بالطريق البلدي الرابط بين وارير – تيغرازين </v>
          </cell>
          <cell r="G319" t="str">
            <v>الاشغال العمومية</v>
          </cell>
          <cell r="H319">
            <v>2800000</v>
          </cell>
          <cell r="J319" t="str">
            <v>الطرق</v>
          </cell>
        </row>
        <row r="320">
          <cell r="F320">
            <v>7</v>
          </cell>
          <cell r="H320">
            <v>47000000</v>
          </cell>
        </row>
        <row r="321">
          <cell r="F321" t="str">
            <v>اقتناء تجهيزات الري</v>
          </cell>
          <cell r="G321" t="str">
            <v>الموارد المائية</v>
          </cell>
          <cell r="H321">
            <v>7000000</v>
          </cell>
          <cell r="J321" t="str">
            <v>الري</v>
          </cell>
        </row>
        <row r="322">
          <cell r="F322" t="str">
            <v xml:space="preserve"> تجديد وتوسيع قنوات الصرف الصحي بعين العلق</v>
          </cell>
          <cell r="G322" t="str">
            <v>الموارد المائية</v>
          </cell>
          <cell r="H322">
            <v>6000000</v>
          </cell>
          <cell r="J322" t="str">
            <v>الري</v>
          </cell>
        </row>
        <row r="323">
          <cell r="F323" t="str">
            <v>ربط حي العائدون بخزان الماء بعين فارس</v>
          </cell>
          <cell r="G323" t="str">
            <v>الموارد المائية</v>
          </cell>
          <cell r="H323">
            <v>2000000</v>
          </cell>
          <cell r="J323" t="str">
            <v>الري</v>
          </cell>
        </row>
        <row r="324">
          <cell r="F324" t="str">
            <v>انجاز دورة المياه بمدرسة دراف السعيد بالخوان</v>
          </cell>
          <cell r="G324" t="str">
            <v>التربية</v>
          </cell>
          <cell r="H324">
            <v>1500000</v>
          </cell>
          <cell r="J324" t="str">
            <v>البناء</v>
          </cell>
        </row>
        <row r="325">
          <cell r="F325" t="str">
            <v>انجاز ساحة لعب معشوشبة اصطناعيا بالخوان</v>
          </cell>
          <cell r="G325" t="str">
            <v>الشباب والرياضة</v>
          </cell>
          <cell r="H325">
            <v>10500000</v>
          </cell>
          <cell r="J325" t="str">
            <v>البناء</v>
          </cell>
        </row>
        <row r="326">
          <cell r="F326" t="str">
            <v>انجاز ساحة لعب معشوشبة اصطناعيا باولاد عطية</v>
          </cell>
          <cell r="G326" t="str">
            <v>الشباب والرياضة</v>
          </cell>
          <cell r="H326">
            <v>10500000</v>
          </cell>
          <cell r="J326" t="str">
            <v>البناء</v>
          </cell>
        </row>
        <row r="327">
          <cell r="F327" t="str">
            <v xml:space="preserve">دراسة ومتابعة وانجاز خزان سعة 150 م3  بمنطقة عين العلق </v>
          </cell>
          <cell r="G327" t="str">
            <v>الموارد المائية</v>
          </cell>
          <cell r="H327">
            <v>7500000</v>
          </cell>
          <cell r="J327" t="str">
            <v>الري</v>
          </cell>
        </row>
        <row r="328">
          <cell r="F328">
            <v>7</v>
          </cell>
          <cell r="H328">
            <v>45000000</v>
          </cell>
        </row>
        <row r="329">
          <cell r="F329" t="str">
            <v xml:space="preserve">تكملة انجاز مقر البلدية </v>
          </cell>
          <cell r="G329" t="str">
            <v>بناية بلدية</v>
          </cell>
          <cell r="H329">
            <v>30000000</v>
          </cell>
          <cell r="J329" t="str">
            <v>البناء</v>
          </cell>
        </row>
        <row r="330">
          <cell r="F330" t="str">
            <v>تهيئة منشأة ادارية بالقرية الفلاحية</v>
          </cell>
          <cell r="G330" t="str">
            <v>بناية بلدية</v>
          </cell>
          <cell r="H330">
            <v>15000000</v>
          </cell>
          <cell r="J330" t="str">
            <v>التهيئة</v>
          </cell>
        </row>
        <row r="331">
          <cell r="F331">
            <v>2</v>
          </cell>
          <cell r="H331">
            <v>45000000</v>
          </cell>
        </row>
        <row r="332">
          <cell r="F332">
            <v>25</v>
          </cell>
          <cell r="H332">
            <v>273201000</v>
          </cell>
        </row>
        <row r="333">
          <cell r="F333" t="str">
            <v xml:space="preserve"> توسيع وتجديد شبكة التطهير لأحياء القرية - الميكانيك</v>
          </cell>
          <cell r="G333" t="str">
            <v>الموارد المائية</v>
          </cell>
          <cell r="H333">
            <v>10000000</v>
          </cell>
          <cell r="J333" t="str">
            <v>الري</v>
          </cell>
        </row>
        <row r="334">
          <cell r="F334" t="str">
            <v xml:space="preserve">توسيع وتجديد شبكة التطهير لأحياء العائدين - الميتة الشمالي </v>
          </cell>
          <cell r="G334" t="str">
            <v>الموارد المائية</v>
          </cell>
          <cell r="H334">
            <v>10000000</v>
          </cell>
          <cell r="J334" t="str">
            <v>الري</v>
          </cell>
        </row>
        <row r="335">
          <cell r="F335" t="str">
            <v xml:space="preserve"> توسيع وتجديد شبكة التطهير لشارعين بحي البسانين</v>
          </cell>
          <cell r="G335" t="str">
            <v>الموارد المائية</v>
          </cell>
          <cell r="H335">
            <v>6250000</v>
          </cell>
          <cell r="J335" t="str">
            <v>الري</v>
          </cell>
        </row>
        <row r="336">
          <cell r="F336" t="str">
            <v xml:space="preserve">توسيع شبكة المياه الصالحة للشرب بحي الخنقة البيضاء </v>
          </cell>
          <cell r="G336" t="str">
            <v>الموارد المائية</v>
          </cell>
          <cell r="H336">
            <v>3500000</v>
          </cell>
          <cell r="J336" t="str">
            <v>الري</v>
          </cell>
        </row>
        <row r="337">
          <cell r="F337" t="str">
            <v>متابعة وإنجاز تهيئة وتزفيت  شارع الشهيد بن ثامر مسعود بن محمد بحي القرية</v>
          </cell>
          <cell r="G337" t="str">
            <v>التهيئة والتعمير</v>
          </cell>
          <cell r="H337">
            <v>9000000</v>
          </cell>
          <cell r="J337" t="str">
            <v>التهيئة</v>
          </cell>
        </row>
        <row r="338">
          <cell r="F338" t="str">
            <v>متابعة وإنجاز تهيئة وتزفيت شارع الشهيد بن سلامي مخلوف بن بولرباح</v>
          </cell>
          <cell r="G338" t="str">
            <v>التهيئة والتعمير</v>
          </cell>
          <cell r="H338">
            <v>8250000</v>
          </cell>
          <cell r="J338" t="str">
            <v>التهيئة</v>
          </cell>
        </row>
        <row r="339">
          <cell r="F339" t="str">
            <v>متابعة وإنجاز تهيئة وتزفيت الشارع الموازي لشارع الشهيد بن سلامي مخلوف بن بولرباح</v>
          </cell>
          <cell r="G339" t="str">
            <v>التهيئة والتعمير</v>
          </cell>
          <cell r="H339">
            <v>11000000</v>
          </cell>
          <cell r="J339" t="str">
            <v>التهيئة</v>
          </cell>
        </row>
        <row r="340">
          <cell r="F340" t="str">
            <v xml:space="preserve">دراسة و متابعة لانجاز التغطية بالعشب الاصطناعي للملعب البلدي بن سرور مع التهيئة لجميع المرافق </v>
          </cell>
          <cell r="G340" t="str">
            <v>الشباب والرياضة</v>
          </cell>
          <cell r="H340">
            <v>2688000</v>
          </cell>
          <cell r="I340" t="str">
            <v>تبليغ</v>
          </cell>
          <cell r="J340" t="str">
            <v>التهيئة</v>
          </cell>
        </row>
        <row r="341">
          <cell r="F341" t="str">
            <v>تجديد قنوات ثانوية بشبكة الصرف الصحي لحي الصحة</v>
          </cell>
          <cell r="G341" t="str">
            <v>الموارد المائية</v>
          </cell>
          <cell r="H341">
            <v>3254000</v>
          </cell>
          <cell r="I341" t="str">
            <v>تبليغ</v>
          </cell>
          <cell r="J341" t="str">
            <v>الري</v>
          </cell>
        </row>
        <row r="342">
          <cell r="F342">
            <v>9</v>
          </cell>
          <cell r="H342">
            <v>63942000</v>
          </cell>
        </row>
        <row r="343">
          <cell r="F343" t="str">
            <v>انجاز منشاة تعبئة للمياه الصالحة للشرب (بئر) لتزويد مدينة محمد بوضياف بالمياه الصالحة للشرب</v>
          </cell>
          <cell r="G343" t="str">
            <v>الموارد المائية</v>
          </cell>
          <cell r="H343">
            <v>15000000</v>
          </cell>
          <cell r="J343" t="str">
            <v>الري</v>
          </cell>
        </row>
        <row r="344">
          <cell r="F344" t="str">
            <v xml:space="preserve">دراسة الطريق الرابط بين منطقة الزعفرانية - ميزارزو و محمد بوضياف  </v>
          </cell>
          <cell r="G344" t="str">
            <v>الاشغال العمومية</v>
          </cell>
          <cell r="H344">
            <v>2500000</v>
          </cell>
          <cell r="J344" t="str">
            <v>الطرق</v>
          </cell>
        </row>
        <row r="345">
          <cell r="F345" t="str">
            <v>متابعة و إنجاز تهيئة حضرية  بشارع الشهيد بختي محمد بن عبد الله</v>
          </cell>
          <cell r="G345" t="str">
            <v>التهيئة والتعمير</v>
          </cell>
          <cell r="H345">
            <v>10000000</v>
          </cell>
          <cell r="J345" t="str">
            <v>التهيئة</v>
          </cell>
        </row>
        <row r="346">
          <cell r="F346" t="str">
            <v>دراسة و إنجاز 03 أقسام مدرسية + جناح صحي + جناح إداري + جدار الإحاطة + تهيئة الساحة و الربط بمختلف الشبكات بمنطقة القفا كملحقة لمدرسة خيرالدين طرفاية ,</v>
          </cell>
          <cell r="G346" t="str">
            <v>التربية</v>
          </cell>
          <cell r="H346">
            <v>19750000</v>
          </cell>
          <cell r="J346" t="str">
            <v>البناء</v>
          </cell>
        </row>
        <row r="347">
          <cell r="F347" t="str">
            <v>اقتناء محولين كهربائيين لبئري منطقتي رأس الواد والحمايد</v>
          </cell>
          <cell r="G347" t="str">
            <v>الموارد المائية</v>
          </cell>
          <cell r="H347">
            <v>2000000</v>
          </cell>
          <cell r="J347" t="str">
            <v>الري</v>
          </cell>
        </row>
        <row r="348">
          <cell r="F348" t="str">
            <v>اعادة تأهيل الطريق البلدي الرابط بين منطقة ضاية لرقاع و الطريق البلدي بوملال -الشطر الأول على مسافة 2 كلم</v>
          </cell>
          <cell r="G348" t="str">
            <v>الاشغال العمومية</v>
          </cell>
          <cell r="H348">
            <v>25700000</v>
          </cell>
          <cell r="J348" t="str">
            <v>الطرق</v>
          </cell>
        </row>
        <row r="349">
          <cell r="F349" t="str">
            <v>تجديد قنوات تطهير بوسط المدينة</v>
          </cell>
          <cell r="G349" t="str">
            <v>الموارد المائية</v>
          </cell>
          <cell r="H349">
            <v>7637000</v>
          </cell>
          <cell r="I349" t="str">
            <v>تبليغ</v>
          </cell>
          <cell r="J349" t="str">
            <v>الري</v>
          </cell>
        </row>
        <row r="350">
          <cell r="F350" t="str">
            <v>ترميم المساكة لـ 26 محل مهني ببلدية محمد بوضياف ببلدية محمد بوضياف</v>
          </cell>
          <cell r="G350" t="str">
            <v>بناية بلدية</v>
          </cell>
          <cell r="H350">
            <v>7947000</v>
          </cell>
          <cell r="I350" t="str">
            <v>تبليغ</v>
          </cell>
          <cell r="J350" t="str">
            <v>البناء</v>
          </cell>
        </row>
        <row r="351">
          <cell r="F351">
            <v>8</v>
          </cell>
          <cell r="H351">
            <v>90534000</v>
          </cell>
        </row>
        <row r="352">
          <cell r="F352" t="str">
            <v xml:space="preserve"> تجهيزوكهربة  بئر  بمنطقة البقرات</v>
          </cell>
          <cell r="G352" t="str">
            <v>الموارد المائية</v>
          </cell>
          <cell r="H352">
            <v>4612500</v>
          </cell>
          <cell r="J352" t="str">
            <v>الري</v>
          </cell>
        </row>
        <row r="353">
          <cell r="F353" t="str">
            <v>تجهيزوكهربة  بئر  بمنطقة البحاير</v>
          </cell>
          <cell r="G353" t="str">
            <v>الموارد المائية</v>
          </cell>
          <cell r="H353">
            <v>4612500</v>
          </cell>
          <cell r="J353" t="str">
            <v>الري</v>
          </cell>
        </row>
        <row r="354">
          <cell r="F354" t="str">
            <v>تجديد و توسيع شبكة الصرف الصحي لأحياء أول نوفمبر ،النصر ،الشهداء، المجاهد</v>
          </cell>
          <cell r="G354" t="str">
            <v>الموارد المائية</v>
          </cell>
          <cell r="H354">
            <v>18000000</v>
          </cell>
          <cell r="J354" t="str">
            <v>الري</v>
          </cell>
        </row>
        <row r="355">
          <cell r="F355" t="str">
            <v xml:space="preserve">تهيئة حضرية وتزفيت حي المجاهد </v>
          </cell>
          <cell r="G355" t="str">
            <v>التهيئة والتعمير</v>
          </cell>
          <cell r="H355">
            <v>9000000</v>
          </cell>
          <cell r="J355" t="str">
            <v>التهيئة</v>
          </cell>
        </row>
        <row r="356">
          <cell r="F356" t="str">
            <v>تهيئة حضرية وتزفيت بحي 08 ماي 1945</v>
          </cell>
          <cell r="G356" t="str">
            <v>التهيئة والتعمير</v>
          </cell>
          <cell r="H356">
            <v>9000000</v>
          </cell>
          <cell r="J356" t="str">
            <v>التهيئة</v>
          </cell>
        </row>
        <row r="357">
          <cell r="F357">
            <v>5</v>
          </cell>
          <cell r="H357">
            <v>45225000</v>
          </cell>
        </row>
        <row r="358">
          <cell r="F358" t="str">
            <v>توصيل قنوات المياه الصالحة للشرب بمنطقة الفشتال</v>
          </cell>
          <cell r="G358" t="str">
            <v>الموارد المائية</v>
          </cell>
          <cell r="H358">
            <v>9200000</v>
          </cell>
          <cell r="J358" t="str">
            <v>الري</v>
          </cell>
        </row>
        <row r="359">
          <cell r="F359" t="str">
            <v>دراسة ومتابعة انجاز مسلك مدعم يربط منطقة الدويرة بمديتة الزرزور على مسافة 1 كلم</v>
          </cell>
          <cell r="G359" t="str">
            <v>الفلاحة</v>
          </cell>
          <cell r="H359">
            <v>8850000</v>
          </cell>
          <cell r="J359" t="str">
            <v>الطرق</v>
          </cell>
        </row>
        <row r="360">
          <cell r="F360" t="str">
            <v>مراقبة وفتح مسلك مدعم يربط منطقة دوار اولاد سعيد بالطريق الوطني رقم 70  على مسافة 0,8 كم</v>
          </cell>
          <cell r="G360" t="str">
            <v>الفلاحة</v>
          </cell>
          <cell r="H360">
            <v>4250000</v>
          </cell>
          <cell r="J360" t="str">
            <v>الطرق</v>
          </cell>
        </row>
        <row r="361">
          <cell r="F361" t="str">
            <v>مراقبة وفتح مسلك مدعم يربط منطقة المقام بالطريق البلدي لحبارة  على مسافة 3 كم</v>
          </cell>
          <cell r="G361" t="str">
            <v>الفلاحة</v>
          </cell>
          <cell r="H361">
            <v>10700000</v>
          </cell>
          <cell r="J361" t="str">
            <v>الطرق</v>
          </cell>
        </row>
        <row r="362">
          <cell r="F362" t="str">
            <v xml:space="preserve">تجديد الانارة العمومية بنهج احمد زبانة بالمدخل الشرقي اتجاه امدوكال </v>
          </cell>
          <cell r="G362" t="str">
            <v>التهيئة والتعمير</v>
          </cell>
          <cell r="H362">
            <v>3500000</v>
          </cell>
          <cell r="J362" t="str">
            <v>التهيئة</v>
          </cell>
        </row>
        <row r="363">
          <cell r="F363" t="str">
            <v xml:space="preserve">تهيئة حضرية بحي محمد شعباني </v>
          </cell>
          <cell r="G363" t="str">
            <v>التهيئة والتعمير</v>
          </cell>
          <cell r="H363">
            <v>8500000</v>
          </cell>
          <cell r="J363" t="str">
            <v>التهيئة</v>
          </cell>
        </row>
        <row r="364">
          <cell r="F364">
            <v>6</v>
          </cell>
          <cell r="H364">
            <v>45000000</v>
          </cell>
        </row>
        <row r="365">
          <cell r="F365">
            <v>28</v>
          </cell>
          <cell r="H365">
            <v>244701000</v>
          </cell>
        </row>
        <row r="366">
          <cell r="F366" t="str">
            <v xml:space="preserve"> مراقبة وانجاز طريق معبد يربط بين الطريق البلدي امجدل – دار الشيوخ – ومدرسة الشهيد لقدي ربوح مسافة 01 كلم بمنطقة عين الكحلة  .</v>
          </cell>
          <cell r="G366" t="str">
            <v>الاشغال العمومية</v>
          </cell>
          <cell r="H366">
            <v>11430875</v>
          </cell>
          <cell r="J366" t="str">
            <v>الطرق</v>
          </cell>
        </row>
        <row r="367">
          <cell r="F367" t="str">
            <v>دراسة و  تهيئة ساحة الأمير عبد القادر بلدية امجدل  .</v>
          </cell>
          <cell r="G367" t="str">
            <v>التهيئة والتعمير</v>
          </cell>
          <cell r="H367">
            <v>9000000</v>
          </cell>
          <cell r="J367" t="str">
            <v>التهيئة</v>
          </cell>
        </row>
        <row r="368">
          <cell r="F368" t="str">
            <v xml:space="preserve">مراقبة و انجاز ( 03 ) ثلاثة أقسام دراسية ( توسعة عمودية )  بمدرسة الشهيد كنان عبد القادر  </v>
          </cell>
          <cell r="G368" t="str">
            <v>التربية</v>
          </cell>
          <cell r="H368">
            <v>11950000</v>
          </cell>
          <cell r="J368" t="str">
            <v>البناء</v>
          </cell>
        </row>
        <row r="369">
          <cell r="F369" t="str">
            <v>مراقبة وتجديد وتوسيع شبكة الصرف الصحي بمدينة امجدل  .</v>
          </cell>
          <cell r="G369" t="str">
            <v>الموارد المائية</v>
          </cell>
          <cell r="H369">
            <v>12000000</v>
          </cell>
          <cell r="J369" t="str">
            <v>الري</v>
          </cell>
        </row>
        <row r="370">
          <cell r="F370" t="str">
            <v>تهيئة وتجهيز ساحة لعب مع التغطية بالعشب الاصطناعي بجوار ثانوية المجاهد بن البار المسعود بلدية امجدل .</v>
          </cell>
          <cell r="G370" t="str">
            <v>الشباب والرياضة</v>
          </cell>
          <cell r="H370">
            <v>11950575</v>
          </cell>
          <cell r="J370" t="str">
            <v>البناء</v>
          </cell>
        </row>
        <row r="371">
          <cell r="F371">
            <v>5</v>
          </cell>
          <cell r="H371">
            <v>56331450</v>
          </cell>
        </row>
        <row r="372">
          <cell r="F372" t="str">
            <v>تزفيت على الساخن طريق الحناية بلدية مناعة</v>
          </cell>
          <cell r="G372" t="str">
            <v>الاشغال العمومية</v>
          </cell>
          <cell r="H372">
            <v>8994696</v>
          </cell>
          <cell r="J372" t="str">
            <v>الطرق</v>
          </cell>
        </row>
        <row r="373">
          <cell r="F373" t="str">
            <v xml:space="preserve">مراقبة وتجديد وتوسيع شبكة المياه الصالحة للشرب عبر أحياء مدينة مناعة  </v>
          </cell>
          <cell r="G373" t="str">
            <v>الموارد المائية</v>
          </cell>
          <cell r="H373">
            <v>12000000</v>
          </cell>
          <cell r="J373" t="str">
            <v>الري</v>
          </cell>
        </row>
        <row r="374">
          <cell r="F374" t="str">
            <v>تهيئة ساحتي مدارس ابتدائية ( طيبي محمد + صيلع بن عزوز ) مع تدعيم جدار الإحاطة وانجاز غرفة للحاجب</v>
          </cell>
          <cell r="G374" t="str">
            <v>التربية</v>
          </cell>
          <cell r="H374">
            <v>9500000</v>
          </cell>
          <cell r="J374" t="str">
            <v>التهيئة</v>
          </cell>
        </row>
        <row r="375">
          <cell r="F375" t="str">
            <v>مراقبة وتجديد شبكة الصرف الصحي بحي البساتين بمناعة</v>
          </cell>
          <cell r="G375" t="str">
            <v>الموارد المائية</v>
          </cell>
          <cell r="H375">
            <v>3700000</v>
          </cell>
          <cell r="J375" t="str">
            <v>الري</v>
          </cell>
        </row>
        <row r="376">
          <cell r="F376" t="str">
            <v>مراقبة و انجاز قسمين دراسيين ( توسعة عمودية ) بمدرسة الشهيد بن عبد الرحمن عبد الرحمن</v>
          </cell>
          <cell r="G376" t="str">
            <v>التربية</v>
          </cell>
          <cell r="H376">
            <v>7560000</v>
          </cell>
          <cell r="J376" t="str">
            <v>البناء</v>
          </cell>
        </row>
        <row r="377">
          <cell r="F377" t="str">
            <v xml:space="preserve">دراسة وانجاز جناح اداري بمدرسة المجاهد جيلاني بلقاسم  </v>
          </cell>
          <cell r="G377" t="str">
            <v>التربية</v>
          </cell>
          <cell r="H377">
            <v>2500000</v>
          </cell>
          <cell r="J377" t="str">
            <v>البناء</v>
          </cell>
        </row>
        <row r="378">
          <cell r="F378" t="str">
            <v xml:space="preserve">  دراسة المخطط التوجيهي لشبكة الصرف الصحي لمدينة مناعة</v>
          </cell>
          <cell r="G378" t="str">
            <v>الموارد المائية</v>
          </cell>
          <cell r="H378">
            <v>800000</v>
          </cell>
          <cell r="J378" t="str">
            <v>الري</v>
          </cell>
        </row>
        <row r="379">
          <cell r="F379">
            <v>7</v>
          </cell>
          <cell r="H379">
            <v>45054696</v>
          </cell>
        </row>
        <row r="380">
          <cell r="F380">
            <v>12</v>
          </cell>
          <cell r="H380">
            <v>101386146</v>
          </cell>
        </row>
        <row r="381">
          <cell r="F381" t="str">
            <v>اعادة تاهيل و تجهيز و ربط بئر البثعة 01 بلدية جبل امساعد .</v>
          </cell>
          <cell r="G381" t="str">
            <v>الموارد المائية</v>
          </cell>
          <cell r="H381">
            <v>3230000</v>
          </cell>
          <cell r="J381" t="str">
            <v>الري</v>
          </cell>
        </row>
        <row r="382">
          <cell r="F382" t="str">
            <v xml:space="preserve"> تجديد و توسيع شبكة المياه الصالحة للشرب ببلدية جبل امساعد لاحياء (غزالي المختار-بكراوي علي-اعمارة محمد-لزرق احمد-لسلت زيان-احميدي عبد القادر-بن رية علي). الشطر الاول </v>
          </cell>
          <cell r="G382" t="str">
            <v>الموارد المائية</v>
          </cell>
          <cell r="H382">
            <v>9122500</v>
          </cell>
          <cell r="J382" t="str">
            <v>الري</v>
          </cell>
        </row>
        <row r="383">
          <cell r="F383" t="str">
            <v xml:space="preserve"> تجديد و توسيع شبكة الصرف الصحي عبر احياء مدينة جبل امساعد (غزالي المختار-بكراوي علي-اعمارة محمد-لزرق احمد-لسلت زيان-احميدي عبد القادر-بن رية علي). الشطر الاول</v>
          </cell>
          <cell r="G383" t="str">
            <v>الموارد المائية</v>
          </cell>
          <cell r="H383">
            <v>12000000</v>
          </cell>
          <cell r="J383" t="str">
            <v>الري</v>
          </cell>
        </row>
        <row r="384">
          <cell r="F384" t="str">
            <v>توسيع  و تجديد شبكة الانارة العمومية بنظام LED ببلدية جبل امساعد لاحياء (غزالي المختار-بكراوي علي-اعمارة محمد-لزرق احمد-لسلت زيان-احميدي عبد القادر-بن رية علي). الشطر الاول</v>
          </cell>
          <cell r="G384" t="str">
            <v>التهيئة والتعمير</v>
          </cell>
          <cell r="H384">
            <v>7000000</v>
          </cell>
          <cell r="J384" t="str">
            <v>التهيئة</v>
          </cell>
        </row>
        <row r="385">
          <cell r="F385" t="str">
            <v>توسيع  و تجديد شبكة الانارة العموميةبنظام LED بالمناطق الريفية  ببلدية جبل امساعد (سمارة-اطرايفية-المقسم الابيض-تواب-العقلة البيضاء-امساعد).</v>
          </cell>
          <cell r="G385" t="str">
            <v>التهيئة والتعمير</v>
          </cell>
          <cell r="H385">
            <v>2000000</v>
          </cell>
          <cell r="J385" t="str">
            <v>التهيئة</v>
          </cell>
        </row>
        <row r="386">
          <cell r="F386" t="str">
            <v>توسعة معبر بحي الشهيد بكراوي علي ببلدية جبل امساعد</v>
          </cell>
          <cell r="G386" t="str">
            <v>الاشغال العمومية</v>
          </cell>
          <cell r="H386">
            <v>1930000</v>
          </cell>
          <cell r="J386" t="str">
            <v>الطرق</v>
          </cell>
        </row>
        <row r="387">
          <cell r="F387" t="str">
            <v>تهيئة و ترميم قاعة علاج بمنطقة سمارة ببلدية جبل امساعد</v>
          </cell>
          <cell r="G387" t="str">
            <v>الصحة</v>
          </cell>
          <cell r="H387">
            <v>1971000</v>
          </cell>
          <cell r="J387" t="str">
            <v>التهيئة</v>
          </cell>
        </row>
        <row r="388">
          <cell r="F388" t="str">
            <v>دراسة و متابعة انجاز 03 اقسام دراسية قابلة للتوسعة بمدرسة الشهيد لزرق محمد بن بسعود (حصة الدراسة)</v>
          </cell>
          <cell r="G388" t="str">
            <v>التربية</v>
          </cell>
          <cell r="H388">
            <v>200000</v>
          </cell>
          <cell r="J388" t="str">
            <v>البناء</v>
          </cell>
        </row>
        <row r="389">
          <cell r="F389" t="str">
            <v xml:space="preserve">دراسة و انجاز منشاة  ادارية ببلدية جبل امساعد </v>
          </cell>
          <cell r="G389" t="str">
            <v>بناية بلدية</v>
          </cell>
          <cell r="H389">
            <v>12000000</v>
          </cell>
          <cell r="J389" t="str">
            <v>البناء</v>
          </cell>
        </row>
        <row r="390">
          <cell r="F390" t="str">
            <v xml:space="preserve">تهيئة منشاة غير مستغلة الى منشاة ادارية ببلدية جبل امساعد </v>
          </cell>
          <cell r="G390" t="str">
            <v>بناية بلدية</v>
          </cell>
          <cell r="H390">
            <v>2000000</v>
          </cell>
          <cell r="J390" t="str">
            <v>التهيئة</v>
          </cell>
        </row>
        <row r="391">
          <cell r="F391" t="str">
            <v xml:space="preserve">تهيئة منشاة غير مستغلة الى قاعة علاج ببلدية جبل امساعد </v>
          </cell>
          <cell r="G391" t="str">
            <v>الصحة</v>
          </cell>
          <cell r="H391">
            <v>3000000</v>
          </cell>
          <cell r="J391" t="str">
            <v>التهيئة</v>
          </cell>
        </row>
        <row r="392">
          <cell r="F392" t="str">
            <v>دراسة وانجاز خزان سعة 100 م3 مع قناة الجلب والتوزيع بمنطقة العقلة البيضاء</v>
          </cell>
          <cell r="G392" t="str">
            <v>الموارد المائية</v>
          </cell>
          <cell r="H392">
            <v>15454000</v>
          </cell>
          <cell r="I392" t="str">
            <v>ملغاة</v>
          </cell>
          <cell r="J392" t="str">
            <v>الري</v>
          </cell>
        </row>
        <row r="393">
          <cell r="F393" t="str">
            <v xml:space="preserve">تهيئة و ترميم  منشاة بلدية ببلدية جبل امساعد </v>
          </cell>
          <cell r="G393" t="str">
            <v>بناية بلدية</v>
          </cell>
          <cell r="H393">
            <v>1500000</v>
          </cell>
          <cell r="J393" t="str">
            <v>التهيئة</v>
          </cell>
        </row>
        <row r="394">
          <cell r="F394">
            <v>13</v>
          </cell>
          <cell r="H394">
            <v>71407500</v>
          </cell>
        </row>
        <row r="395">
          <cell r="F395" t="str">
            <v>تجديد المعدات بالمدارس الابتدائية (تجهيز المطاعم)</v>
          </cell>
          <cell r="G395" t="str">
            <v>التربية</v>
          </cell>
          <cell r="H395">
            <v>3000000</v>
          </cell>
          <cell r="J395" t="str">
            <v>تجهيز</v>
          </cell>
        </row>
        <row r="396">
          <cell r="F396" t="str">
            <v>تهيئة و ترميم منشأة بلدية ببلدية سليم</v>
          </cell>
          <cell r="G396" t="str">
            <v>بناية بلدية</v>
          </cell>
          <cell r="H396">
            <v>4214385</v>
          </cell>
          <cell r="J396" t="str">
            <v>التهيئة</v>
          </cell>
        </row>
        <row r="397">
          <cell r="F397" t="str">
            <v xml:space="preserve">دراسة و انجاز قسمين دراسيين  للتوسعة بملحقة مدرسة الشهيد ناجوي محمد ببلدية سليم  </v>
          </cell>
          <cell r="G397" t="str">
            <v>التربية</v>
          </cell>
          <cell r="H397">
            <v>7000000</v>
          </cell>
          <cell r="J397" t="str">
            <v>البناء</v>
          </cell>
        </row>
        <row r="398">
          <cell r="F398" t="str">
            <v>تهيئة و ترميم قاعة العلاج بحاسي وذان ببلدية سليم</v>
          </cell>
          <cell r="G398" t="str">
            <v>الصحة</v>
          </cell>
          <cell r="H398">
            <v>2000000</v>
          </cell>
          <cell r="J398" t="str">
            <v>التهيئة</v>
          </cell>
        </row>
        <row r="399">
          <cell r="F399" t="str">
            <v xml:space="preserve">تهيئة و ترميم قاعة العلاج بعين امقارنز ببلدية سليم </v>
          </cell>
          <cell r="G399" t="str">
            <v>الصحة</v>
          </cell>
          <cell r="H399">
            <v>1500000</v>
          </cell>
          <cell r="J399" t="str">
            <v>التهيئة</v>
          </cell>
        </row>
        <row r="400">
          <cell r="F400" t="str">
            <v xml:space="preserve"> توسيع شبكة المياه الصالحة للشرب بمنطقة الضاية و ربط الخزان بالكهرباء ببلديةسليم</v>
          </cell>
          <cell r="G400" t="str">
            <v>الموارد المائية</v>
          </cell>
          <cell r="H400">
            <v>4800000</v>
          </cell>
          <cell r="J400" t="str">
            <v>الري</v>
          </cell>
        </row>
        <row r="401">
          <cell r="F401" t="str">
            <v>تهيئة وترميم بمدرسة الشهيد جداوي عطية ببلدية سليم</v>
          </cell>
          <cell r="G401" t="str">
            <v>التربية</v>
          </cell>
          <cell r="H401">
            <v>8263788.9400000004</v>
          </cell>
          <cell r="J401" t="str">
            <v>التهيئة</v>
          </cell>
        </row>
        <row r="402">
          <cell r="F402" t="str">
            <v>تهيئة وترميم بمدرسة الشهيد غربي بن عيسى ببلدية سليم</v>
          </cell>
          <cell r="G402" t="str">
            <v>التربية</v>
          </cell>
          <cell r="H402">
            <v>3000000</v>
          </cell>
          <cell r="J402" t="str">
            <v>التهيئة</v>
          </cell>
        </row>
        <row r="403">
          <cell r="F403" t="str">
            <v>انجاز و تجهيز  بئر  لتموين مدينة سليم بالمياه الصالحة للشرب-بلدية سليم.</v>
          </cell>
          <cell r="G403" t="str">
            <v>الموارد المائية</v>
          </cell>
          <cell r="H403">
            <v>11931815</v>
          </cell>
          <cell r="J403" t="str">
            <v>الري</v>
          </cell>
        </row>
        <row r="404">
          <cell r="F404">
            <v>9</v>
          </cell>
          <cell r="H404">
            <v>45709988.939999998</v>
          </cell>
        </row>
        <row r="405">
          <cell r="F405">
            <v>22</v>
          </cell>
          <cell r="H405">
            <v>117117488.94</v>
          </cell>
        </row>
        <row r="406">
          <cell r="F406" t="str">
            <v>مراقبة وتجديد وتوسيع شبكة الصرف الصحي بقرية الخبانة</v>
          </cell>
          <cell r="G406" t="str">
            <v>الموارد المائية</v>
          </cell>
          <cell r="H406">
            <v>6150000</v>
          </cell>
          <cell r="J406" t="str">
            <v>الري</v>
          </cell>
        </row>
        <row r="407">
          <cell r="F407" t="str">
            <v>مراقبة وتوسيع شبكة الصرف الصحي ببئر هني</v>
          </cell>
          <cell r="G407" t="str">
            <v>الموارد المائية</v>
          </cell>
          <cell r="H407">
            <v>6047000</v>
          </cell>
          <cell r="J407" t="str">
            <v>الري</v>
          </cell>
        </row>
        <row r="408">
          <cell r="F408" t="str">
            <v xml:space="preserve">تكملة انجاز  طريق لفك العزلة على مدرسة الشهيد كبير علي بمنطقة ذراع السبع </v>
          </cell>
          <cell r="G408" t="str">
            <v>الاشغال العمومية</v>
          </cell>
          <cell r="H408">
            <v>10000000</v>
          </cell>
          <cell r="J408" t="str">
            <v>الطرق</v>
          </cell>
        </row>
        <row r="409">
          <cell r="F409" t="str">
            <v>مراقبة وتوسيع شبكة المياه الصالحة للشرب ببئر هني</v>
          </cell>
          <cell r="G409" t="str">
            <v>الموارد المائية</v>
          </cell>
          <cell r="H409">
            <v>4100000</v>
          </cell>
          <cell r="J409" t="str">
            <v>الري</v>
          </cell>
        </row>
        <row r="410">
          <cell r="F410" t="str">
            <v>تكملة الملعب الرياضي الجواري ببئر الربعي</v>
          </cell>
          <cell r="G410" t="str">
            <v>الشباب والرياضة</v>
          </cell>
          <cell r="H410">
            <v>7000000</v>
          </cell>
          <cell r="J410" t="str">
            <v>البناء</v>
          </cell>
        </row>
        <row r="411">
          <cell r="F411" t="str">
            <v>تهيئة حضرية بالشارع الرئيسي ببئر هني</v>
          </cell>
          <cell r="G411" t="str">
            <v>التهيئة والتعمير</v>
          </cell>
          <cell r="H411">
            <v>18000000</v>
          </cell>
          <cell r="J411" t="str">
            <v>التهيئة</v>
          </cell>
        </row>
        <row r="412">
          <cell r="F412" t="str">
            <v>انجاز سور الاحاطة لمقر البلدية وحظيرة البلدية</v>
          </cell>
          <cell r="G412" t="str">
            <v>بناية بلدية</v>
          </cell>
          <cell r="H412">
            <v>4100000</v>
          </cell>
          <cell r="J412" t="str">
            <v>البناء</v>
          </cell>
        </row>
        <row r="413">
          <cell r="F413" t="str">
            <v>تكملة الانارة العمومية لمدخل المدينة ببلدية الخبانة</v>
          </cell>
          <cell r="G413" t="str">
            <v>التهيئة والتعمير</v>
          </cell>
          <cell r="H413">
            <v>10947000</v>
          </cell>
          <cell r="I413" t="str">
            <v>تبليغ</v>
          </cell>
          <cell r="J413" t="str">
            <v>التهيئة</v>
          </cell>
        </row>
        <row r="414">
          <cell r="F414">
            <v>8</v>
          </cell>
          <cell r="H414">
            <v>66344000</v>
          </cell>
        </row>
        <row r="415">
          <cell r="F415" t="str">
            <v>مراقبة ومتابعة وانجاز شبكة الصرف الصحي بأمسيف</v>
          </cell>
          <cell r="G415" t="str">
            <v>الموارد المائية</v>
          </cell>
          <cell r="H415">
            <v>10250000</v>
          </cell>
          <cell r="J415" t="str">
            <v>الري</v>
          </cell>
        </row>
        <row r="416">
          <cell r="F416" t="str">
            <v>انجاز ملعب رياضي جواري معشوشب اصطناعيا بذراع يوسف</v>
          </cell>
          <cell r="G416" t="str">
            <v>الشباب والرياضة</v>
          </cell>
          <cell r="H416">
            <v>10000000</v>
          </cell>
          <cell r="J416" t="str">
            <v>البناء</v>
          </cell>
        </row>
        <row r="417">
          <cell r="F417" t="str">
            <v>تهيئة حضرية عبر أحياء بلدية أمسيف</v>
          </cell>
          <cell r="G417" t="str">
            <v>التهيئة والتعمير</v>
          </cell>
          <cell r="H417">
            <v>17000000</v>
          </cell>
          <cell r="J417" t="str">
            <v>التهيئة</v>
          </cell>
        </row>
        <row r="418">
          <cell r="F418" t="str">
            <v>إعادة بناء جناح صحي بمدرسة الشهيد عايب علي</v>
          </cell>
          <cell r="G418" t="str">
            <v>التربية</v>
          </cell>
          <cell r="H418">
            <v>1500000</v>
          </cell>
          <cell r="J418" t="str">
            <v>البناء</v>
          </cell>
        </row>
        <row r="419">
          <cell r="F419" t="str">
            <v>إنجاز شبكة الانارة العمومية بمدخل بلدية أمسيف</v>
          </cell>
          <cell r="G419" t="str">
            <v>التهيئة والتعمير</v>
          </cell>
          <cell r="H419">
            <v>6500000</v>
          </cell>
          <cell r="J419" t="str">
            <v>التهيئة</v>
          </cell>
        </row>
        <row r="420">
          <cell r="F420">
            <v>5</v>
          </cell>
          <cell r="H420">
            <v>45250000</v>
          </cell>
        </row>
        <row r="421">
          <cell r="F421" t="str">
            <v>مراقبة ومتابعة وانجاز  شبكة الصرف الصحي بالرمانة</v>
          </cell>
          <cell r="G421" t="str">
            <v>الموارد المائية</v>
          </cell>
          <cell r="H421">
            <v>6150000</v>
          </cell>
          <cell r="J421" t="str">
            <v>الري</v>
          </cell>
        </row>
        <row r="422">
          <cell r="F422" t="str">
            <v>انجاز ملعب رياضي جواري معشوشب اصطناعيا بالرمانة القبلية</v>
          </cell>
          <cell r="G422" t="str">
            <v>الشباب والرياضة</v>
          </cell>
          <cell r="H422">
            <v>10000000</v>
          </cell>
          <cell r="J422" t="str">
            <v>البناء</v>
          </cell>
        </row>
        <row r="423">
          <cell r="F423" t="str">
            <v>انجاز ملعب رياضي جواري معشوشب اصطناعيا بالرمانة الظهراوية</v>
          </cell>
          <cell r="G423" t="str">
            <v>الشباب والرياضة</v>
          </cell>
          <cell r="H423">
            <v>10000000</v>
          </cell>
          <cell r="J423" t="str">
            <v>البناء</v>
          </cell>
        </row>
        <row r="424">
          <cell r="F424" t="str">
            <v>مراقبة وانجاز قسمين دراسيين 02 بملحقة المسمى الرحابي بالحمرانية</v>
          </cell>
          <cell r="G424" t="str">
            <v>التربية</v>
          </cell>
          <cell r="H424">
            <v>8000000</v>
          </cell>
          <cell r="J424" t="str">
            <v>البناء</v>
          </cell>
        </row>
        <row r="425">
          <cell r="F425" t="str">
            <v>تهيئة حضرية بالتجمع الرئيسي الرمانة</v>
          </cell>
          <cell r="G425" t="str">
            <v>التهيئة والتعمير</v>
          </cell>
          <cell r="H425">
            <v>11000000</v>
          </cell>
          <cell r="J425" t="str">
            <v>التهيئة</v>
          </cell>
        </row>
        <row r="426">
          <cell r="F426" t="str">
            <v>توسعة ملحقة بلدية بمنطقة أم الشمل</v>
          </cell>
          <cell r="G426" t="str">
            <v>بناية بلدية</v>
          </cell>
          <cell r="H426">
            <v>3600000</v>
          </cell>
          <cell r="I426" t="str">
            <v>تبليغ</v>
          </cell>
          <cell r="J426" t="str">
            <v>البناء</v>
          </cell>
        </row>
        <row r="427">
          <cell r="F427">
            <v>6</v>
          </cell>
          <cell r="H427">
            <v>48750000</v>
          </cell>
        </row>
        <row r="428">
          <cell r="F428">
            <v>19</v>
          </cell>
          <cell r="H428">
            <v>160344000</v>
          </cell>
        </row>
        <row r="429">
          <cell r="F429">
            <v>360</v>
          </cell>
          <cell r="H429">
            <v>2890021766.9400001</v>
          </cell>
        </row>
      </sheetData>
      <sheetData sheetId="1">
        <row r="9">
          <cell r="A9">
            <v>0</v>
          </cell>
        </row>
      </sheetData>
      <sheetData sheetId="2">
        <row r="2">
          <cell r="D2" t="str">
            <v xml:space="preserve">Rappel Décision n°………........  </v>
          </cell>
        </row>
      </sheetData>
      <sheetData sheetId="3"/>
      <sheetData sheetId="4"/>
      <sheetData sheetId="5">
        <row r="407">
          <cell r="AC407" t="str">
            <v>الاشغال العمومية</v>
          </cell>
          <cell r="AD407" t="str">
            <v>الطرق</v>
          </cell>
        </row>
        <row r="408">
          <cell r="AC408" t="str">
            <v>الموارد المائية</v>
          </cell>
          <cell r="AD408" t="str">
            <v>الري</v>
          </cell>
        </row>
        <row r="409">
          <cell r="AC409" t="str">
            <v>التهيئة والتعمير</v>
          </cell>
          <cell r="AD409" t="str">
            <v>التهيئة</v>
          </cell>
        </row>
        <row r="410">
          <cell r="AC410" t="str">
            <v xml:space="preserve">البناء </v>
          </cell>
          <cell r="AD410" t="str">
            <v>البناء</v>
          </cell>
        </row>
        <row r="411">
          <cell r="AC411" t="str">
            <v>الأشغال الغابية</v>
          </cell>
        </row>
        <row r="412">
          <cell r="AC412" t="str">
            <v>أشغال المنشآت الكامنة للمواصلات السلكية واللاسلكية</v>
          </cell>
        </row>
      </sheetData>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7"/>
      <sheetName val="TBIS7"/>
      <sheetName val="s,secteur"/>
    </sheetNames>
    <sheetDataSet>
      <sheetData sheetId="0"/>
      <sheetData sheetId="1"/>
      <sheetData sheetId="2">
        <row r="2">
          <cell r="A2">
            <v>111</v>
          </cell>
          <cell r="B2">
            <v>14</v>
          </cell>
          <cell r="C2">
            <v>1</v>
          </cell>
        </row>
        <row r="3">
          <cell r="A3">
            <v>147</v>
          </cell>
          <cell r="B3">
            <v>14</v>
          </cell>
          <cell r="C3">
            <v>1</v>
          </cell>
        </row>
        <row r="4">
          <cell r="A4">
            <v>161</v>
          </cell>
          <cell r="B4">
            <v>16</v>
          </cell>
          <cell r="C4">
            <v>1</v>
          </cell>
        </row>
        <row r="5">
          <cell r="A5">
            <v>171</v>
          </cell>
          <cell r="B5">
            <v>17</v>
          </cell>
          <cell r="C5">
            <v>1</v>
          </cell>
        </row>
        <row r="6">
          <cell r="A6">
            <v>175</v>
          </cell>
          <cell r="B6">
            <v>17</v>
          </cell>
          <cell r="C6">
            <v>1</v>
          </cell>
        </row>
        <row r="7">
          <cell r="A7">
            <v>187</v>
          </cell>
          <cell r="B7">
            <v>18</v>
          </cell>
          <cell r="C7">
            <v>1</v>
          </cell>
        </row>
        <row r="8">
          <cell r="A8">
            <v>191</v>
          </cell>
          <cell r="B8">
            <v>19</v>
          </cell>
          <cell r="C8">
            <v>1</v>
          </cell>
        </row>
        <row r="9">
          <cell r="A9">
            <v>125</v>
          </cell>
          <cell r="B9">
            <v>25</v>
          </cell>
          <cell r="C9">
            <v>2</v>
          </cell>
        </row>
        <row r="10">
          <cell r="A10">
            <v>131</v>
          </cell>
          <cell r="B10">
            <v>23</v>
          </cell>
          <cell r="C10">
            <v>2</v>
          </cell>
        </row>
        <row r="11">
          <cell r="A11">
            <v>172</v>
          </cell>
          <cell r="B11">
            <v>17</v>
          </cell>
          <cell r="C11">
            <v>1</v>
          </cell>
        </row>
        <row r="12">
          <cell r="A12">
            <v>211</v>
          </cell>
          <cell r="B12">
            <v>34</v>
          </cell>
          <cell r="C12">
            <v>3</v>
          </cell>
        </row>
        <row r="13">
          <cell r="A13">
            <v>212</v>
          </cell>
          <cell r="B13">
            <v>34</v>
          </cell>
          <cell r="C13">
            <v>3</v>
          </cell>
        </row>
        <row r="14">
          <cell r="A14">
            <v>213</v>
          </cell>
          <cell r="B14">
            <v>34</v>
          </cell>
          <cell r="C14">
            <v>3</v>
          </cell>
        </row>
        <row r="15">
          <cell r="A15">
            <v>214</v>
          </cell>
          <cell r="B15">
            <v>34</v>
          </cell>
          <cell r="C15">
            <v>3</v>
          </cell>
        </row>
        <row r="16">
          <cell r="A16">
            <v>215</v>
          </cell>
          <cell r="B16">
            <v>31</v>
          </cell>
          <cell r="C16">
            <v>3</v>
          </cell>
        </row>
        <row r="17">
          <cell r="A17">
            <v>221</v>
          </cell>
          <cell r="B17">
            <v>34</v>
          </cell>
          <cell r="C17">
            <v>3</v>
          </cell>
        </row>
        <row r="18">
          <cell r="A18">
            <v>224</v>
          </cell>
          <cell r="B18">
            <v>34</v>
          </cell>
          <cell r="C18">
            <v>3</v>
          </cell>
        </row>
        <row r="19">
          <cell r="A19">
            <v>226</v>
          </cell>
          <cell r="B19">
            <v>34</v>
          </cell>
          <cell r="C19">
            <v>3</v>
          </cell>
        </row>
        <row r="20">
          <cell r="A20">
            <v>227</v>
          </cell>
          <cell r="B20">
            <v>34</v>
          </cell>
          <cell r="C20">
            <v>3</v>
          </cell>
        </row>
        <row r="21">
          <cell r="A21">
            <v>228</v>
          </cell>
          <cell r="B21">
            <v>34</v>
          </cell>
          <cell r="C21">
            <v>3</v>
          </cell>
        </row>
        <row r="22">
          <cell r="A22">
            <v>229</v>
          </cell>
          <cell r="B22">
            <v>34</v>
          </cell>
          <cell r="C22">
            <v>3</v>
          </cell>
        </row>
        <row r="23">
          <cell r="A23">
            <v>241</v>
          </cell>
          <cell r="B23">
            <v>34</v>
          </cell>
          <cell r="C23">
            <v>3</v>
          </cell>
        </row>
        <row r="24">
          <cell r="A24">
            <v>246</v>
          </cell>
          <cell r="B24">
            <v>34</v>
          </cell>
          <cell r="C24">
            <v>3</v>
          </cell>
        </row>
        <row r="25">
          <cell r="A25">
            <v>247</v>
          </cell>
          <cell r="B25">
            <v>34</v>
          </cell>
          <cell r="C25">
            <v>3</v>
          </cell>
        </row>
        <row r="26">
          <cell r="A26">
            <v>311</v>
          </cell>
          <cell r="B26">
            <v>33</v>
          </cell>
          <cell r="C26">
            <v>3</v>
          </cell>
        </row>
        <row r="27">
          <cell r="A27">
            <v>312</v>
          </cell>
          <cell r="B27">
            <v>32</v>
          </cell>
          <cell r="C27">
            <v>3</v>
          </cell>
        </row>
        <row r="28">
          <cell r="A28">
            <v>315</v>
          </cell>
          <cell r="B28">
            <v>32</v>
          </cell>
          <cell r="C28">
            <v>3</v>
          </cell>
        </row>
        <row r="29">
          <cell r="A29">
            <v>316</v>
          </cell>
          <cell r="B29">
            <v>33</v>
          </cell>
          <cell r="C29">
            <v>3</v>
          </cell>
        </row>
        <row r="30">
          <cell r="A30">
            <v>317</v>
          </cell>
          <cell r="B30">
            <v>33</v>
          </cell>
          <cell r="C30">
            <v>3</v>
          </cell>
        </row>
        <row r="31">
          <cell r="A31">
            <v>321</v>
          </cell>
          <cell r="B31">
            <v>32</v>
          </cell>
          <cell r="C31">
            <v>3</v>
          </cell>
        </row>
        <row r="32">
          <cell r="A32">
            <v>322</v>
          </cell>
          <cell r="B32">
            <v>33</v>
          </cell>
          <cell r="C32">
            <v>3</v>
          </cell>
        </row>
        <row r="33">
          <cell r="A33">
            <v>323</v>
          </cell>
          <cell r="B33">
            <v>32</v>
          </cell>
          <cell r="C33">
            <v>3</v>
          </cell>
        </row>
        <row r="34">
          <cell r="A34">
            <v>331</v>
          </cell>
          <cell r="B34">
            <v>33</v>
          </cell>
          <cell r="C34">
            <v>3</v>
          </cell>
        </row>
        <row r="35">
          <cell r="A35">
            <v>332</v>
          </cell>
          <cell r="B35">
            <v>33</v>
          </cell>
          <cell r="C35">
            <v>3</v>
          </cell>
        </row>
        <row r="36">
          <cell r="A36">
            <v>333</v>
          </cell>
          <cell r="B36">
            <v>33</v>
          </cell>
          <cell r="C36">
            <v>3</v>
          </cell>
        </row>
        <row r="37">
          <cell r="A37">
            <v>341</v>
          </cell>
          <cell r="B37">
            <v>32</v>
          </cell>
          <cell r="C37">
            <v>3</v>
          </cell>
        </row>
        <row r="38">
          <cell r="A38">
            <v>342</v>
          </cell>
          <cell r="B38">
            <v>32</v>
          </cell>
          <cell r="C38">
            <v>3</v>
          </cell>
        </row>
        <row r="39">
          <cell r="A39">
            <v>352</v>
          </cell>
          <cell r="B39">
            <v>36</v>
          </cell>
          <cell r="C39">
            <v>3</v>
          </cell>
        </row>
        <row r="40">
          <cell r="A40">
            <v>412</v>
          </cell>
          <cell r="B40">
            <v>37</v>
          </cell>
          <cell r="C40">
            <v>3</v>
          </cell>
        </row>
        <row r="41">
          <cell r="A41">
            <v>431</v>
          </cell>
          <cell r="B41">
            <v>37</v>
          </cell>
          <cell r="C41">
            <v>3</v>
          </cell>
        </row>
        <row r="42">
          <cell r="A42">
            <v>341</v>
          </cell>
          <cell r="B42">
            <v>41</v>
          </cell>
          <cell r="C42">
            <v>4</v>
          </cell>
        </row>
        <row r="43">
          <cell r="A43">
            <v>411</v>
          </cell>
          <cell r="B43">
            <v>42</v>
          </cell>
          <cell r="C43">
            <v>4</v>
          </cell>
        </row>
        <row r="44">
          <cell r="A44">
            <v>421</v>
          </cell>
          <cell r="B44">
            <v>42</v>
          </cell>
          <cell r="C44">
            <v>4</v>
          </cell>
        </row>
        <row r="45">
          <cell r="A45">
            <v>461</v>
          </cell>
          <cell r="B45">
            <v>46</v>
          </cell>
          <cell r="C45">
            <v>4</v>
          </cell>
        </row>
        <row r="46">
          <cell r="A46">
            <v>512</v>
          </cell>
          <cell r="B46">
            <v>43</v>
          </cell>
          <cell r="C46">
            <v>4</v>
          </cell>
        </row>
        <row r="47">
          <cell r="A47">
            <v>513</v>
          </cell>
          <cell r="B47">
            <v>44</v>
          </cell>
          <cell r="C47">
            <v>4</v>
          </cell>
        </row>
        <row r="48">
          <cell r="A48">
            <v>515</v>
          </cell>
          <cell r="B48">
            <v>46</v>
          </cell>
          <cell r="C48">
            <v>4</v>
          </cell>
        </row>
        <row r="49">
          <cell r="A49">
            <v>543</v>
          </cell>
          <cell r="B49">
            <v>44</v>
          </cell>
          <cell r="C49">
            <v>4</v>
          </cell>
        </row>
        <row r="50">
          <cell r="A50">
            <v>544</v>
          </cell>
          <cell r="B50">
            <v>44</v>
          </cell>
          <cell r="C50">
            <v>4</v>
          </cell>
        </row>
        <row r="51">
          <cell r="A51">
            <v>545</v>
          </cell>
          <cell r="B51">
            <v>44</v>
          </cell>
          <cell r="C51">
            <v>4</v>
          </cell>
        </row>
        <row r="52">
          <cell r="A52">
            <v>546</v>
          </cell>
          <cell r="B52">
            <v>44</v>
          </cell>
          <cell r="C52">
            <v>4</v>
          </cell>
        </row>
        <row r="53">
          <cell r="A53">
            <v>547</v>
          </cell>
          <cell r="B53">
            <v>44</v>
          </cell>
          <cell r="C53">
            <v>4</v>
          </cell>
        </row>
        <row r="54">
          <cell r="A54">
            <v>548</v>
          </cell>
          <cell r="B54">
            <v>44</v>
          </cell>
          <cell r="C54">
            <v>4</v>
          </cell>
        </row>
        <row r="55">
          <cell r="A55">
            <v>567</v>
          </cell>
          <cell r="B55">
            <v>46</v>
          </cell>
          <cell r="C55">
            <v>4</v>
          </cell>
        </row>
        <row r="56">
          <cell r="A56">
            <v>851</v>
          </cell>
          <cell r="B56">
            <v>47</v>
          </cell>
          <cell r="C56">
            <v>4</v>
          </cell>
        </row>
        <row r="57">
          <cell r="A57">
            <v>934</v>
          </cell>
          <cell r="B57">
            <v>41</v>
          </cell>
          <cell r="C57">
            <v>4</v>
          </cell>
        </row>
        <row r="58">
          <cell r="A58">
            <v>511</v>
          </cell>
          <cell r="B58">
            <v>52</v>
          </cell>
          <cell r="C58">
            <v>5</v>
          </cell>
        </row>
        <row r="59">
          <cell r="A59">
            <v>521</v>
          </cell>
          <cell r="B59">
            <v>52</v>
          </cell>
          <cell r="C59">
            <v>5</v>
          </cell>
        </row>
        <row r="60">
          <cell r="A60">
            <v>522</v>
          </cell>
          <cell r="B60">
            <v>52</v>
          </cell>
          <cell r="C60">
            <v>5</v>
          </cell>
        </row>
        <row r="61">
          <cell r="A61">
            <v>523</v>
          </cell>
          <cell r="B61">
            <v>51</v>
          </cell>
          <cell r="C61">
            <v>5</v>
          </cell>
        </row>
        <row r="62">
          <cell r="A62">
            <v>524</v>
          </cell>
          <cell r="B62">
            <v>53</v>
          </cell>
          <cell r="C62">
            <v>5</v>
          </cell>
        </row>
        <row r="63">
          <cell r="A63">
            <v>526</v>
          </cell>
          <cell r="B63">
            <v>54</v>
          </cell>
          <cell r="C63">
            <v>5</v>
          </cell>
        </row>
        <row r="64">
          <cell r="A64">
            <v>527</v>
          </cell>
          <cell r="B64">
            <v>54</v>
          </cell>
          <cell r="C64">
            <v>5</v>
          </cell>
        </row>
        <row r="65">
          <cell r="A65">
            <v>528</v>
          </cell>
          <cell r="B65">
            <v>52</v>
          </cell>
          <cell r="C65">
            <v>5</v>
          </cell>
        </row>
        <row r="66">
          <cell r="A66">
            <v>531</v>
          </cell>
          <cell r="B66">
            <v>52</v>
          </cell>
          <cell r="C66">
            <v>5</v>
          </cell>
        </row>
        <row r="67">
          <cell r="A67">
            <v>534</v>
          </cell>
          <cell r="B67">
            <v>52</v>
          </cell>
          <cell r="C67">
            <v>5</v>
          </cell>
        </row>
        <row r="68">
          <cell r="A68">
            <v>535</v>
          </cell>
          <cell r="B68">
            <v>52</v>
          </cell>
          <cell r="C68">
            <v>5</v>
          </cell>
        </row>
        <row r="69">
          <cell r="A69">
            <v>552</v>
          </cell>
          <cell r="B69">
            <v>56</v>
          </cell>
          <cell r="C69">
            <v>5</v>
          </cell>
        </row>
        <row r="70">
          <cell r="A70">
            <v>811</v>
          </cell>
          <cell r="B70">
            <v>57</v>
          </cell>
          <cell r="C70">
            <v>5</v>
          </cell>
        </row>
        <row r="71">
          <cell r="A71">
            <v>812</v>
          </cell>
          <cell r="B71">
            <v>57</v>
          </cell>
          <cell r="C71">
            <v>5</v>
          </cell>
        </row>
        <row r="72">
          <cell r="A72">
            <v>813</v>
          </cell>
          <cell r="B72">
            <v>38</v>
          </cell>
          <cell r="C72">
            <v>3</v>
          </cell>
        </row>
        <row r="73">
          <cell r="A73">
            <v>814</v>
          </cell>
          <cell r="B73">
            <v>57</v>
          </cell>
          <cell r="C73">
            <v>5</v>
          </cell>
        </row>
        <row r="74">
          <cell r="A74">
            <v>821</v>
          </cell>
          <cell r="B74">
            <v>57</v>
          </cell>
          <cell r="C74">
            <v>5</v>
          </cell>
        </row>
        <row r="75">
          <cell r="A75">
            <v>831</v>
          </cell>
          <cell r="B75">
            <v>57</v>
          </cell>
          <cell r="C75">
            <v>5</v>
          </cell>
        </row>
        <row r="76">
          <cell r="A76">
            <v>834</v>
          </cell>
          <cell r="B76">
            <v>57</v>
          </cell>
          <cell r="C76">
            <v>5</v>
          </cell>
        </row>
        <row r="77">
          <cell r="A77">
            <v>841</v>
          </cell>
          <cell r="B77">
            <v>57</v>
          </cell>
          <cell r="C77">
            <v>5</v>
          </cell>
        </row>
        <row r="78">
          <cell r="A78">
            <v>842</v>
          </cell>
          <cell r="B78">
            <v>57</v>
          </cell>
          <cell r="C78">
            <v>5</v>
          </cell>
        </row>
        <row r="79">
          <cell r="A79">
            <v>851</v>
          </cell>
          <cell r="B79">
            <v>57</v>
          </cell>
          <cell r="C79">
            <v>5</v>
          </cell>
        </row>
        <row r="80">
          <cell r="A80">
            <v>852</v>
          </cell>
          <cell r="B80">
            <v>57</v>
          </cell>
          <cell r="C80">
            <v>5</v>
          </cell>
        </row>
        <row r="81">
          <cell r="A81">
            <v>853</v>
          </cell>
          <cell r="B81">
            <v>57</v>
          </cell>
          <cell r="C81">
            <v>5</v>
          </cell>
        </row>
        <row r="82">
          <cell r="A82">
            <v>854</v>
          </cell>
          <cell r="B82">
            <v>57</v>
          </cell>
          <cell r="C82">
            <v>5</v>
          </cell>
        </row>
        <row r="83">
          <cell r="A83">
            <v>855</v>
          </cell>
          <cell r="B83">
            <v>57</v>
          </cell>
          <cell r="C83">
            <v>5</v>
          </cell>
        </row>
        <row r="84">
          <cell r="A84">
            <v>862</v>
          </cell>
          <cell r="B84">
            <v>57</v>
          </cell>
          <cell r="C84">
            <v>5</v>
          </cell>
        </row>
        <row r="85">
          <cell r="A85">
            <v>864</v>
          </cell>
          <cell r="B85">
            <v>57</v>
          </cell>
          <cell r="C85">
            <v>5</v>
          </cell>
        </row>
        <row r="86">
          <cell r="A86">
            <v>611</v>
          </cell>
          <cell r="B86">
            <v>61</v>
          </cell>
          <cell r="C86">
            <v>6</v>
          </cell>
        </row>
        <row r="87">
          <cell r="A87">
            <v>612</v>
          </cell>
          <cell r="B87">
            <v>62</v>
          </cell>
          <cell r="C87">
            <v>6</v>
          </cell>
        </row>
        <row r="88">
          <cell r="A88">
            <v>613</v>
          </cell>
          <cell r="B88">
            <v>63</v>
          </cell>
          <cell r="C88">
            <v>6</v>
          </cell>
        </row>
        <row r="89">
          <cell r="A89">
            <v>621</v>
          </cell>
          <cell r="B89">
            <v>64</v>
          </cell>
          <cell r="C89">
            <v>6</v>
          </cell>
        </row>
        <row r="90">
          <cell r="A90">
            <v>622</v>
          </cell>
          <cell r="B90">
            <v>62</v>
          </cell>
          <cell r="C90">
            <v>6</v>
          </cell>
        </row>
        <row r="91">
          <cell r="A91">
            <v>623</v>
          </cell>
          <cell r="B91">
            <v>62</v>
          </cell>
          <cell r="C91">
            <v>6</v>
          </cell>
        </row>
        <row r="92">
          <cell r="A92">
            <v>624</v>
          </cell>
          <cell r="B92">
            <v>62</v>
          </cell>
          <cell r="C92">
            <v>6</v>
          </cell>
        </row>
        <row r="93">
          <cell r="A93">
            <v>625</v>
          </cell>
          <cell r="B93">
            <v>62</v>
          </cell>
          <cell r="C93">
            <v>6</v>
          </cell>
        </row>
        <row r="94">
          <cell r="A94">
            <v>631</v>
          </cell>
          <cell r="B94">
            <v>63</v>
          </cell>
          <cell r="C94">
            <v>6</v>
          </cell>
        </row>
        <row r="95">
          <cell r="A95">
            <v>632</v>
          </cell>
          <cell r="B95">
            <v>63</v>
          </cell>
          <cell r="C95">
            <v>6</v>
          </cell>
        </row>
        <row r="96">
          <cell r="A96">
            <v>633</v>
          </cell>
          <cell r="B96">
            <v>63</v>
          </cell>
          <cell r="C96">
            <v>6</v>
          </cell>
        </row>
        <row r="97">
          <cell r="A97">
            <v>634</v>
          </cell>
          <cell r="B97">
            <v>63</v>
          </cell>
          <cell r="C97">
            <v>6</v>
          </cell>
        </row>
        <row r="98">
          <cell r="A98">
            <v>641</v>
          </cell>
          <cell r="B98">
            <v>63</v>
          </cell>
          <cell r="C98">
            <v>6</v>
          </cell>
        </row>
        <row r="99">
          <cell r="A99">
            <v>642</v>
          </cell>
          <cell r="B99">
            <v>63</v>
          </cell>
          <cell r="C99">
            <v>6</v>
          </cell>
        </row>
        <row r="100">
          <cell r="A100">
            <v>643</v>
          </cell>
          <cell r="B100">
            <v>63</v>
          </cell>
          <cell r="C100">
            <v>6</v>
          </cell>
        </row>
        <row r="101">
          <cell r="A101">
            <v>651</v>
          </cell>
          <cell r="B101">
            <v>63</v>
          </cell>
          <cell r="C101">
            <v>6</v>
          </cell>
        </row>
        <row r="102">
          <cell r="A102">
            <v>652</v>
          </cell>
          <cell r="B102">
            <v>63</v>
          </cell>
          <cell r="C102">
            <v>6</v>
          </cell>
        </row>
        <row r="103">
          <cell r="A103">
            <v>653</v>
          </cell>
          <cell r="B103">
            <v>63</v>
          </cell>
          <cell r="C103">
            <v>6</v>
          </cell>
        </row>
        <row r="104">
          <cell r="A104">
            <v>712</v>
          </cell>
          <cell r="B104">
            <v>73</v>
          </cell>
          <cell r="C104">
            <v>7</v>
          </cell>
        </row>
        <row r="105">
          <cell r="A105">
            <v>714</v>
          </cell>
          <cell r="B105">
            <v>76</v>
          </cell>
          <cell r="C105">
            <v>7</v>
          </cell>
        </row>
        <row r="106">
          <cell r="A106">
            <v>724</v>
          </cell>
          <cell r="B106">
            <v>82</v>
          </cell>
          <cell r="C106">
            <v>7</v>
          </cell>
        </row>
        <row r="107">
          <cell r="A107">
            <v>731</v>
          </cell>
          <cell r="B107">
            <v>73</v>
          </cell>
          <cell r="C107">
            <v>7</v>
          </cell>
        </row>
        <row r="108">
          <cell r="A108">
            <v>732</v>
          </cell>
          <cell r="B108">
            <v>73</v>
          </cell>
          <cell r="C108">
            <v>7</v>
          </cell>
        </row>
        <row r="109">
          <cell r="A109">
            <v>733</v>
          </cell>
          <cell r="B109">
            <v>73</v>
          </cell>
          <cell r="C109">
            <v>7</v>
          </cell>
        </row>
        <row r="110">
          <cell r="A110">
            <v>741</v>
          </cell>
          <cell r="B110">
            <v>74</v>
          </cell>
          <cell r="C110">
            <v>7</v>
          </cell>
        </row>
        <row r="111">
          <cell r="A111">
            <v>742</v>
          </cell>
          <cell r="B111">
            <v>74</v>
          </cell>
          <cell r="C111">
            <v>7</v>
          </cell>
        </row>
        <row r="112">
          <cell r="A112">
            <v>744</v>
          </cell>
          <cell r="B112">
            <v>74</v>
          </cell>
          <cell r="C112">
            <v>7</v>
          </cell>
        </row>
        <row r="113">
          <cell r="A113">
            <v>751</v>
          </cell>
          <cell r="B113">
            <v>71</v>
          </cell>
          <cell r="C113">
            <v>7</v>
          </cell>
        </row>
        <row r="114">
          <cell r="A114">
            <v>752</v>
          </cell>
          <cell r="B114">
            <v>75</v>
          </cell>
          <cell r="C114">
            <v>7</v>
          </cell>
        </row>
        <row r="115">
          <cell r="A115">
            <v>753</v>
          </cell>
          <cell r="B115">
            <v>71</v>
          </cell>
          <cell r="C115">
            <v>7</v>
          </cell>
        </row>
        <row r="116">
          <cell r="A116">
            <v>761</v>
          </cell>
          <cell r="B116">
            <v>77</v>
          </cell>
          <cell r="C116">
            <v>7</v>
          </cell>
        </row>
        <row r="117">
          <cell r="A117">
            <v>762</v>
          </cell>
          <cell r="B117">
            <v>72</v>
          </cell>
          <cell r="C117">
            <v>7</v>
          </cell>
        </row>
        <row r="118">
          <cell r="A118">
            <v>763</v>
          </cell>
          <cell r="B118">
            <v>76</v>
          </cell>
          <cell r="C118">
            <v>7</v>
          </cell>
        </row>
        <row r="119">
          <cell r="A119">
            <v>764</v>
          </cell>
          <cell r="B119">
            <v>76</v>
          </cell>
          <cell r="C119">
            <v>7</v>
          </cell>
        </row>
        <row r="120">
          <cell r="A120">
            <v>765</v>
          </cell>
          <cell r="B120">
            <v>76</v>
          </cell>
          <cell r="C120">
            <v>7</v>
          </cell>
        </row>
        <row r="121">
          <cell r="A121">
            <v>711</v>
          </cell>
          <cell r="B121">
            <v>81</v>
          </cell>
          <cell r="C121">
            <v>8</v>
          </cell>
        </row>
        <row r="122">
          <cell r="A122">
            <v>721</v>
          </cell>
          <cell r="B122">
            <v>81</v>
          </cell>
          <cell r="C122">
            <v>8</v>
          </cell>
        </row>
        <row r="123">
          <cell r="A123">
            <v>722</v>
          </cell>
          <cell r="B123">
            <v>82</v>
          </cell>
          <cell r="C123">
            <v>8</v>
          </cell>
        </row>
        <row r="124">
          <cell r="A124">
            <v>391</v>
          </cell>
          <cell r="B124">
            <v>39</v>
          </cell>
          <cell r="C124">
            <v>9</v>
          </cell>
        </row>
        <row r="125">
          <cell r="A125">
            <v>392</v>
          </cell>
          <cell r="B125">
            <v>39</v>
          </cell>
          <cell r="C125">
            <v>9</v>
          </cell>
        </row>
        <row r="126">
          <cell r="A126">
            <v>591</v>
          </cell>
          <cell r="B126">
            <v>59</v>
          </cell>
          <cell r="C126">
            <v>9</v>
          </cell>
        </row>
        <row r="127">
          <cell r="A127">
            <v>891</v>
          </cell>
          <cell r="B127">
            <v>59</v>
          </cell>
          <cell r="C127">
            <v>9</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Remise"/>
      <sheetName val="Feuil1"/>
      <sheetName val="2006"/>
      <sheetName val="2007"/>
      <sheetName val="2008"/>
      <sheetName val="2009"/>
    </sheetNames>
    <sheetDataSet>
      <sheetData sheetId="0">
        <row r="2">
          <cell r="B2">
            <v>0</v>
          </cell>
        </row>
        <row r="3">
          <cell r="B3" t="str">
            <v>العــملــيـات لسنة :</v>
          </cell>
        </row>
        <row r="4">
          <cell r="B4">
            <v>0</v>
          </cell>
        </row>
        <row r="5">
          <cell r="B5" t="str">
            <v>الاستهلاكات لسنة :</v>
          </cell>
        </row>
        <row r="6">
          <cell r="B6">
            <v>0</v>
          </cell>
        </row>
        <row r="7">
          <cell r="B7" t="str">
            <v>عــــدد العـملـــيات :</v>
          </cell>
        </row>
        <row r="8">
          <cell r="B8">
            <v>0</v>
          </cell>
        </row>
        <row r="9">
          <cell r="B9" t="str">
            <v>عدد العمليات المغلقة :</v>
          </cell>
        </row>
        <row r="10">
          <cell r="B10">
            <v>1</v>
          </cell>
        </row>
        <row r="11">
          <cell r="B11" t="str">
            <v>1</v>
          </cell>
          <cell r="C11" t="str">
            <v>2</v>
          </cell>
          <cell r="D11" t="str">
            <v>3</v>
          </cell>
          <cell r="E11" t="str">
            <v>4</v>
          </cell>
          <cell r="F11" t="str">
            <v>5</v>
          </cell>
          <cell r="G11" t="str">
            <v>06</v>
          </cell>
          <cell r="H11" t="str">
            <v>07</v>
          </cell>
          <cell r="I11" t="str">
            <v>اسم العملية</v>
          </cell>
          <cell r="J11" t="str">
            <v>AP</v>
          </cell>
          <cell r="K11" t="str">
            <v>2006</v>
          </cell>
          <cell r="L11" t="str">
            <v>2007</v>
          </cell>
          <cell r="M11" t="str">
            <v>2008</v>
          </cell>
          <cell r="N11" t="str">
            <v>2009</v>
          </cell>
          <cell r="O11" t="str">
            <v>2010</v>
          </cell>
          <cell r="P11" t="str">
            <v>2011</v>
          </cell>
          <cell r="Q11" t="str">
            <v>NomCom</v>
          </cell>
          <cell r="R11" t="str">
            <v>D</v>
          </cell>
          <cell r="S11" t="str">
            <v>Clot/EnCou</v>
          </cell>
        </row>
        <row r="12">
          <cell r="B12" t="str">
            <v>خ هـ 5</v>
          </cell>
        </row>
        <row r="13">
          <cell r="B13" t="str">
            <v>خ هـ 5</v>
          </cell>
        </row>
        <row r="14">
          <cell r="B14" t="str">
            <v>خ هـ 5</v>
          </cell>
        </row>
        <row r="15">
          <cell r="B15" t="str">
            <v>خ هـ 5</v>
          </cell>
        </row>
        <row r="16">
          <cell r="B16" t="str">
            <v>خ هـ 5</v>
          </cell>
        </row>
        <row r="17">
          <cell r="B17" t="str">
            <v>خ هـ 5</v>
          </cell>
        </row>
        <row r="18">
          <cell r="B18" t="str">
            <v>خ هـ 5</v>
          </cell>
        </row>
        <row r="19">
          <cell r="B19" t="str">
            <v>خ هـ 5</v>
          </cell>
        </row>
        <row r="20">
          <cell r="B20" t="str">
            <v>خ هـ 5</v>
          </cell>
        </row>
        <row r="21">
          <cell r="B21" t="str">
            <v>خ هـ 5</v>
          </cell>
        </row>
        <row r="22">
          <cell r="B22" t="str">
            <v>خ هـ 5</v>
          </cell>
        </row>
        <row r="23">
          <cell r="B23" t="str">
            <v>خ هـ 5</v>
          </cell>
        </row>
        <row r="24">
          <cell r="B24" t="str">
            <v>خ هـ 5</v>
          </cell>
        </row>
        <row r="25">
          <cell r="B25" t="str">
            <v>خ هـ 5</v>
          </cell>
        </row>
        <row r="26">
          <cell r="B26" t="str">
            <v>خ هـ 5</v>
          </cell>
        </row>
        <row r="27">
          <cell r="B27" t="str">
            <v>خ هـ 5</v>
          </cell>
        </row>
        <row r="28">
          <cell r="B28" t="str">
            <v>خ هـ 5</v>
          </cell>
        </row>
        <row r="29">
          <cell r="B29" t="str">
            <v>خ هـ 5</v>
          </cell>
        </row>
        <row r="30">
          <cell r="B30" t="str">
            <v>خ هـ 5</v>
          </cell>
        </row>
        <row r="31">
          <cell r="B31" t="str">
            <v>خ هـ 5</v>
          </cell>
        </row>
        <row r="32">
          <cell r="B32" t="str">
            <v>خ هـ 5</v>
          </cell>
        </row>
        <row r="33">
          <cell r="B33" t="str">
            <v>خ هـ 5</v>
          </cell>
        </row>
        <row r="34">
          <cell r="B34" t="str">
            <v>خ هـ 5</v>
          </cell>
        </row>
        <row r="35">
          <cell r="B35" t="str">
            <v>خ هـ 5</v>
          </cell>
        </row>
        <row r="36">
          <cell r="B36" t="str">
            <v>خ هـ 5</v>
          </cell>
        </row>
        <row r="37">
          <cell r="B37" t="str">
            <v>خ هـ 5</v>
          </cell>
        </row>
        <row r="38">
          <cell r="B38" t="str">
            <v>خ هـ 5</v>
          </cell>
        </row>
        <row r="39">
          <cell r="B39" t="str">
            <v>خ هـ 5</v>
          </cell>
        </row>
        <row r="40">
          <cell r="B40" t="str">
            <v>خ هـ 5</v>
          </cell>
        </row>
        <row r="41">
          <cell r="B41" t="str">
            <v>خ هـ 5</v>
          </cell>
        </row>
        <row r="42">
          <cell r="B42" t="str">
            <v>خ هـ 5</v>
          </cell>
        </row>
        <row r="43">
          <cell r="B43" t="str">
            <v>خ هـ 5</v>
          </cell>
        </row>
        <row r="44">
          <cell r="B44" t="str">
            <v>خ هـ 5</v>
          </cell>
        </row>
        <row r="45">
          <cell r="B45" t="str">
            <v>خ هـ 5</v>
          </cell>
        </row>
        <row r="46">
          <cell r="B46" t="str">
            <v>خ هـ 5</v>
          </cell>
        </row>
        <row r="47">
          <cell r="B47" t="str">
            <v>خ هـ 5</v>
          </cell>
        </row>
        <row r="48">
          <cell r="B48" t="str">
            <v>خ هـ 5</v>
          </cell>
        </row>
        <row r="49">
          <cell r="B49" t="str">
            <v>خ هـ 5</v>
          </cell>
        </row>
        <row r="50">
          <cell r="B50" t="str">
            <v>خ هـ 5</v>
          </cell>
        </row>
        <row r="51">
          <cell r="B51" t="str">
            <v>خ هـ 5</v>
          </cell>
        </row>
        <row r="52">
          <cell r="B52" t="str">
            <v>خ هـ 5</v>
          </cell>
        </row>
        <row r="53">
          <cell r="B53" t="str">
            <v>خ هـ 5</v>
          </cell>
        </row>
        <row r="54">
          <cell r="B54" t="str">
            <v>خ هـ 5</v>
          </cell>
        </row>
        <row r="55">
          <cell r="B55" t="str">
            <v>خ هـ 5</v>
          </cell>
        </row>
        <row r="56">
          <cell r="B56" t="str">
            <v>خ هـ 5</v>
          </cell>
        </row>
        <row r="57">
          <cell r="B57" t="str">
            <v>خ هـ 5</v>
          </cell>
        </row>
        <row r="58">
          <cell r="B58" t="str">
            <v>خ هـ 5</v>
          </cell>
        </row>
        <row r="59">
          <cell r="B59" t="str">
            <v>خ هـ 5</v>
          </cell>
        </row>
        <row r="60">
          <cell r="B60" t="str">
            <v>خ هـ 5</v>
          </cell>
        </row>
        <row r="61">
          <cell r="B61" t="str">
            <v>خ هـ 5</v>
          </cell>
        </row>
        <row r="62">
          <cell r="B62" t="str">
            <v>خ هـ 5</v>
          </cell>
        </row>
        <row r="63">
          <cell r="B63" t="str">
            <v>خ هـ 5</v>
          </cell>
        </row>
        <row r="64">
          <cell r="B64" t="str">
            <v>خ هـ 5</v>
          </cell>
        </row>
        <row r="65">
          <cell r="B65" t="str">
            <v>خ هـ 5</v>
          </cell>
        </row>
        <row r="66">
          <cell r="B66" t="str">
            <v>خ هـ 5</v>
          </cell>
        </row>
        <row r="67">
          <cell r="B67" t="str">
            <v>خ هـ 5</v>
          </cell>
        </row>
        <row r="68">
          <cell r="B68" t="str">
            <v>خ هـ 5</v>
          </cell>
        </row>
        <row r="69">
          <cell r="B69" t="str">
            <v>خ هـ 5</v>
          </cell>
        </row>
        <row r="70">
          <cell r="B70" t="str">
            <v>خ هـ 5</v>
          </cell>
        </row>
        <row r="71">
          <cell r="B71" t="str">
            <v>خ هـ 5</v>
          </cell>
        </row>
        <row r="72">
          <cell r="B72" t="str">
            <v>خ هـ 5</v>
          </cell>
        </row>
        <row r="73">
          <cell r="B73" t="str">
            <v>خ هـ 5</v>
          </cell>
        </row>
        <row r="74">
          <cell r="B74" t="str">
            <v>خ هـ 5</v>
          </cell>
        </row>
        <row r="75">
          <cell r="B75" t="str">
            <v>خ هـ 5</v>
          </cell>
        </row>
        <row r="76">
          <cell r="B76" t="str">
            <v>خ هـ 5</v>
          </cell>
        </row>
        <row r="77">
          <cell r="B77" t="str">
            <v>خ هـ 5</v>
          </cell>
        </row>
        <row r="78">
          <cell r="B78" t="str">
            <v>خ هـ 5</v>
          </cell>
        </row>
        <row r="79">
          <cell r="B79" t="str">
            <v>خ هـ 5</v>
          </cell>
        </row>
        <row r="80">
          <cell r="B80" t="str">
            <v>خ هـ 5</v>
          </cell>
        </row>
        <row r="81">
          <cell r="B81" t="str">
            <v>خ هـ 5</v>
          </cell>
        </row>
        <row r="82">
          <cell r="B82" t="str">
            <v>خ هـ 5</v>
          </cell>
        </row>
        <row r="83">
          <cell r="B83" t="str">
            <v>خ هـ 5</v>
          </cell>
        </row>
        <row r="84">
          <cell r="B84" t="str">
            <v>خ هـ 5</v>
          </cell>
        </row>
        <row r="85">
          <cell r="B85" t="str">
            <v>خ هـ 5</v>
          </cell>
        </row>
        <row r="86">
          <cell r="B86" t="str">
            <v>خ هـ 5</v>
          </cell>
        </row>
        <row r="87">
          <cell r="B87" t="str">
            <v>خ هـ 5</v>
          </cell>
        </row>
        <row r="88">
          <cell r="B88" t="str">
            <v>خ هـ 5</v>
          </cell>
        </row>
        <row r="89">
          <cell r="B89" t="str">
            <v>خ هـ 5</v>
          </cell>
        </row>
        <row r="90">
          <cell r="B90" t="str">
            <v>خ هـ 5</v>
          </cell>
        </row>
        <row r="91">
          <cell r="B91" t="str">
            <v>خ هـ 5</v>
          </cell>
        </row>
        <row r="92">
          <cell r="B92" t="str">
            <v>خ هـ 5</v>
          </cell>
        </row>
        <row r="93">
          <cell r="B93" t="str">
            <v>خ هـ 5</v>
          </cell>
        </row>
        <row r="94">
          <cell r="B94" t="str">
            <v>خ هـ 5</v>
          </cell>
        </row>
        <row r="95">
          <cell r="B95" t="str">
            <v>خ هـ 5</v>
          </cell>
        </row>
        <row r="96">
          <cell r="B96" t="str">
            <v>خ هـ 5</v>
          </cell>
        </row>
        <row r="97">
          <cell r="B97" t="str">
            <v>خ هـ 5</v>
          </cell>
        </row>
        <row r="98">
          <cell r="B98" t="str">
            <v>خ هـ 5</v>
          </cell>
        </row>
        <row r="99">
          <cell r="B99" t="str">
            <v>خ هـ 5</v>
          </cell>
        </row>
        <row r="100">
          <cell r="B100" t="str">
            <v>خ هـ 5</v>
          </cell>
        </row>
        <row r="101">
          <cell r="B101" t="str">
            <v>خ هـ 5</v>
          </cell>
        </row>
        <row r="102">
          <cell r="B102" t="str">
            <v>خ هـ 5</v>
          </cell>
        </row>
        <row r="103">
          <cell r="B103" t="str">
            <v>خ هـ 5</v>
          </cell>
        </row>
        <row r="104">
          <cell r="B104" t="str">
            <v>خ هـ 5</v>
          </cell>
        </row>
        <row r="105">
          <cell r="B105" t="str">
            <v>خ هـ 5</v>
          </cell>
        </row>
        <row r="106">
          <cell r="B106" t="str">
            <v>خ هـ 5</v>
          </cell>
        </row>
        <row r="107">
          <cell r="B107" t="str">
            <v>خ هـ 5</v>
          </cell>
        </row>
        <row r="108">
          <cell r="B108" t="str">
            <v>خ هـ 5</v>
          </cell>
        </row>
        <row r="109">
          <cell r="B109" t="str">
            <v>خ هـ 5</v>
          </cell>
        </row>
        <row r="110">
          <cell r="B110" t="str">
            <v>خ هـ 5</v>
          </cell>
        </row>
        <row r="111">
          <cell r="B111" t="str">
            <v>خ هـ 5</v>
          </cell>
        </row>
        <row r="112">
          <cell r="B112" t="str">
            <v>خ هـ 5</v>
          </cell>
        </row>
        <row r="113">
          <cell r="B113" t="str">
            <v>خ هـ 5</v>
          </cell>
        </row>
        <row r="114">
          <cell r="B114" t="str">
            <v>خ هـ 5</v>
          </cell>
        </row>
        <row r="115">
          <cell r="B115" t="str">
            <v>خ هـ 5</v>
          </cell>
        </row>
        <row r="116">
          <cell r="B116" t="str">
            <v>خ هـ 5</v>
          </cell>
        </row>
        <row r="117">
          <cell r="B117" t="str">
            <v>خ هـ 5</v>
          </cell>
        </row>
        <row r="118">
          <cell r="B118" t="str">
            <v>خ هـ 5</v>
          </cell>
        </row>
        <row r="119">
          <cell r="B119" t="str">
            <v>خ هـ 5</v>
          </cell>
        </row>
        <row r="120">
          <cell r="B120" t="str">
            <v>خ هـ 5</v>
          </cell>
        </row>
        <row r="121">
          <cell r="B121" t="str">
            <v>خ هـ 5</v>
          </cell>
        </row>
        <row r="122">
          <cell r="B122" t="str">
            <v>خ هـ 5</v>
          </cell>
        </row>
        <row r="123">
          <cell r="B123" t="str">
            <v>خ هـ 5</v>
          </cell>
        </row>
        <row r="124">
          <cell r="B124" t="str">
            <v>خ هـ 5</v>
          </cell>
        </row>
        <row r="125">
          <cell r="B125" t="str">
            <v>خ هـ 5</v>
          </cell>
        </row>
        <row r="126">
          <cell r="B126" t="str">
            <v>خ هـ 5</v>
          </cell>
        </row>
        <row r="127">
          <cell r="B127" t="str">
            <v>خ هـ 5</v>
          </cell>
        </row>
        <row r="128">
          <cell r="B128" t="str">
            <v>خ هـ 5</v>
          </cell>
        </row>
        <row r="129">
          <cell r="B129" t="str">
            <v>خ هـ 5</v>
          </cell>
        </row>
        <row r="130">
          <cell r="B130" t="str">
            <v>خ هـ 5</v>
          </cell>
        </row>
        <row r="131">
          <cell r="B131" t="str">
            <v>خ هـ 5</v>
          </cell>
        </row>
        <row r="132">
          <cell r="B132" t="str">
            <v>خ هـ 5</v>
          </cell>
        </row>
        <row r="133">
          <cell r="B133" t="str">
            <v>خ هـ 5</v>
          </cell>
        </row>
        <row r="134">
          <cell r="B134" t="str">
            <v>خ هـ 5</v>
          </cell>
        </row>
        <row r="135">
          <cell r="B135" t="str">
            <v>خ هـ 5</v>
          </cell>
        </row>
        <row r="136">
          <cell r="B136" t="str">
            <v>خ هـ 5</v>
          </cell>
        </row>
        <row r="137">
          <cell r="B137" t="str">
            <v>خ هـ 5</v>
          </cell>
        </row>
        <row r="138">
          <cell r="B138" t="str">
            <v>خ هـ 5</v>
          </cell>
        </row>
        <row r="139">
          <cell r="B139" t="str">
            <v>خ هـ 5</v>
          </cell>
        </row>
        <row r="140">
          <cell r="B140" t="str">
            <v>خ هـ 5</v>
          </cell>
        </row>
        <row r="141">
          <cell r="B141" t="str">
            <v>خ هـ 5</v>
          </cell>
        </row>
        <row r="142">
          <cell r="B142" t="str">
            <v>خ هـ 5</v>
          </cell>
        </row>
        <row r="143">
          <cell r="B143" t="str">
            <v>خ هـ 5</v>
          </cell>
        </row>
        <row r="144">
          <cell r="B144" t="str">
            <v>خ هـ 5</v>
          </cell>
        </row>
        <row r="145">
          <cell r="B145" t="str">
            <v>خ هـ 5</v>
          </cell>
        </row>
        <row r="146">
          <cell r="B146" t="str">
            <v>خ هـ 5</v>
          </cell>
        </row>
        <row r="147">
          <cell r="B147" t="str">
            <v>خ هـ 5</v>
          </cell>
        </row>
        <row r="148">
          <cell r="B148" t="str">
            <v>خ هـ 5</v>
          </cell>
        </row>
        <row r="149">
          <cell r="B149" t="str">
            <v>خ هـ 5</v>
          </cell>
        </row>
        <row r="150">
          <cell r="B150" t="str">
            <v>خ هـ 5</v>
          </cell>
        </row>
        <row r="151">
          <cell r="B151" t="str">
            <v>خ هـ 5</v>
          </cell>
        </row>
        <row r="152">
          <cell r="B152" t="str">
            <v>خ هـ 5</v>
          </cell>
        </row>
        <row r="153">
          <cell r="B153" t="str">
            <v>خ هـ 5</v>
          </cell>
        </row>
        <row r="154">
          <cell r="B154" t="str">
            <v>خ هـ 5</v>
          </cell>
        </row>
        <row r="155">
          <cell r="B155" t="str">
            <v>خ هـ 5</v>
          </cell>
        </row>
        <row r="156">
          <cell r="B156" t="str">
            <v>خ هـ 5</v>
          </cell>
        </row>
        <row r="157">
          <cell r="B157" t="str">
            <v>خ هـ 5</v>
          </cell>
        </row>
        <row r="158">
          <cell r="B158" t="str">
            <v>خ هـ 5</v>
          </cell>
        </row>
        <row r="159">
          <cell r="B159" t="str">
            <v>خ هـ 5</v>
          </cell>
        </row>
        <row r="160">
          <cell r="B160" t="str">
            <v>خ هـ 5</v>
          </cell>
        </row>
        <row r="161">
          <cell r="B161" t="str">
            <v>خ هـ 5</v>
          </cell>
        </row>
        <row r="162">
          <cell r="B162" t="str">
            <v>خ هـ 5</v>
          </cell>
        </row>
        <row r="163">
          <cell r="B163" t="str">
            <v>خ هـ 5</v>
          </cell>
        </row>
        <row r="164">
          <cell r="B164" t="str">
            <v>خ هـ 5</v>
          </cell>
        </row>
        <row r="165">
          <cell r="B165" t="str">
            <v>خ هـ 5</v>
          </cell>
        </row>
        <row r="166">
          <cell r="B166" t="str">
            <v>خ هـ 5</v>
          </cell>
        </row>
        <row r="167">
          <cell r="B167" t="str">
            <v>خ هـ 5</v>
          </cell>
        </row>
        <row r="168">
          <cell r="B168" t="str">
            <v>خ هـ 5</v>
          </cell>
        </row>
        <row r="169">
          <cell r="B169" t="str">
            <v>خ هـ 5</v>
          </cell>
        </row>
        <row r="170">
          <cell r="B170" t="str">
            <v>خ هـ 5</v>
          </cell>
        </row>
        <row r="171">
          <cell r="B171" t="str">
            <v>خ هـ 5</v>
          </cell>
        </row>
        <row r="172">
          <cell r="B172" t="str">
            <v>خ هـ 5</v>
          </cell>
        </row>
        <row r="173">
          <cell r="B173" t="str">
            <v>خ هـ 5</v>
          </cell>
        </row>
        <row r="174">
          <cell r="B174" t="str">
            <v>خ هـ 5</v>
          </cell>
        </row>
        <row r="175">
          <cell r="B175" t="str">
            <v>خ هـ 5</v>
          </cell>
        </row>
        <row r="176">
          <cell r="B176" t="str">
            <v>خ هـ 5</v>
          </cell>
        </row>
        <row r="177">
          <cell r="B177" t="str">
            <v>خ هـ 5</v>
          </cell>
        </row>
        <row r="178">
          <cell r="B178" t="str">
            <v>خ هـ 5</v>
          </cell>
        </row>
        <row r="179">
          <cell r="B179" t="str">
            <v>خ هـ 5</v>
          </cell>
        </row>
        <row r="180">
          <cell r="B180" t="str">
            <v>خ هـ 5</v>
          </cell>
        </row>
        <row r="181">
          <cell r="B181" t="str">
            <v>خ هـ 5</v>
          </cell>
        </row>
        <row r="182">
          <cell r="B182" t="str">
            <v>خ هـ 5</v>
          </cell>
        </row>
        <row r="183">
          <cell r="B183" t="str">
            <v>خ هـ 5</v>
          </cell>
        </row>
        <row r="184">
          <cell r="B184" t="str">
            <v>خ هـ 5</v>
          </cell>
        </row>
        <row r="185">
          <cell r="B185" t="str">
            <v>خ هـ 5</v>
          </cell>
        </row>
        <row r="186">
          <cell r="B186" t="str">
            <v>خ هـ 5</v>
          </cell>
        </row>
        <row r="187">
          <cell r="B187" t="str">
            <v>خ هـ 5</v>
          </cell>
        </row>
        <row r="188">
          <cell r="B188" t="str">
            <v>خ هـ 5</v>
          </cell>
        </row>
        <row r="189">
          <cell r="B189" t="str">
            <v>خ هـ 5</v>
          </cell>
        </row>
        <row r="190">
          <cell r="B190" t="str">
            <v>خ هـ 5</v>
          </cell>
        </row>
        <row r="191">
          <cell r="B191" t="str">
            <v>خ هـ 5</v>
          </cell>
        </row>
        <row r="192">
          <cell r="B192" t="str">
            <v>خ هـ 5</v>
          </cell>
        </row>
        <row r="193">
          <cell r="B193" t="str">
            <v>خ هـ 5</v>
          </cell>
        </row>
        <row r="194">
          <cell r="B194" t="str">
            <v>خ هـ 5</v>
          </cell>
        </row>
        <row r="195">
          <cell r="B195" t="str">
            <v>خ هـ 5</v>
          </cell>
        </row>
        <row r="196">
          <cell r="B196" t="str">
            <v>خ هـ 5</v>
          </cell>
        </row>
        <row r="197">
          <cell r="B197" t="str">
            <v>خ هـ 5</v>
          </cell>
        </row>
        <row r="198">
          <cell r="B198" t="str">
            <v>خ هـ 5</v>
          </cell>
        </row>
        <row r="199">
          <cell r="B199" t="str">
            <v>خ هـ 5</v>
          </cell>
        </row>
        <row r="200">
          <cell r="B200" t="str">
            <v>خ هـ 5</v>
          </cell>
        </row>
        <row r="201">
          <cell r="B201" t="str">
            <v>خ هـ 5</v>
          </cell>
        </row>
        <row r="202">
          <cell r="B202" t="str">
            <v>خ هـ 5</v>
          </cell>
        </row>
        <row r="203">
          <cell r="B203" t="str">
            <v>خ هـ 5</v>
          </cell>
        </row>
        <row r="204">
          <cell r="B204" t="str">
            <v>خ هـ 5</v>
          </cell>
        </row>
        <row r="205">
          <cell r="B205" t="str">
            <v>خ هـ 5</v>
          </cell>
        </row>
        <row r="206">
          <cell r="B206" t="str">
            <v>خ هـ 5</v>
          </cell>
        </row>
        <row r="207">
          <cell r="B207" t="str">
            <v>خ هـ 5</v>
          </cell>
        </row>
        <row r="208">
          <cell r="B208" t="str">
            <v>خ هـ 5</v>
          </cell>
        </row>
        <row r="209">
          <cell r="B209" t="str">
            <v>خ هـ 5</v>
          </cell>
        </row>
        <row r="210">
          <cell r="B210" t="str">
            <v>خ هـ 5</v>
          </cell>
        </row>
        <row r="211">
          <cell r="B211" t="str">
            <v>خ هـ 5</v>
          </cell>
        </row>
        <row r="212">
          <cell r="B212" t="str">
            <v>خ هـ 5</v>
          </cell>
        </row>
        <row r="213">
          <cell r="B213" t="str">
            <v>خ هـ 5</v>
          </cell>
        </row>
        <row r="214">
          <cell r="B214" t="str">
            <v>خ هـ 5</v>
          </cell>
        </row>
        <row r="215">
          <cell r="B215" t="str">
            <v>خ هـ 5</v>
          </cell>
        </row>
        <row r="216">
          <cell r="B216" t="str">
            <v>خ هـ 5</v>
          </cell>
        </row>
        <row r="217">
          <cell r="B217" t="str">
            <v>خ هـ 5</v>
          </cell>
        </row>
        <row r="218">
          <cell r="B218" t="str">
            <v>خ هـ 5</v>
          </cell>
        </row>
        <row r="219">
          <cell r="B219" t="str">
            <v>خ هـ 5</v>
          </cell>
        </row>
        <row r="220">
          <cell r="B220" t="str">
            <v>خ هـ 5</v>
          </cell>
        </row>
        <row r="221">
          <cell r="B221" t="str">
            <v>خ هـ 5</v>
          </cell>
        </row>
        <row r="222">
          <cell r="B222" t="str">
            <v>خ هـ 5</v>
          </cell>
        </row>
        <row r="223">
          <cell r="B223" t="str">
            <v>خ هـ 5</v>
          </cell>
        </row>
        <row r="224">
          <cell r="B224" t="str">
            <v>خ هـ 5</v>
          </cell>
        </row>
        <row r="225">
          <cell r="B225" t="str">
            <v>خ هـ 5</v>
          </cell>
        </row>
        <row r="226">
          <cell r="B226" t="str">
            <v>خ هـ 5</v>
          </cell>
        </row>
        <row r="227">
          <cell r="B227" t="str">
            <v>خ هـ 5</v>
          </cell>
        </row>
        <row r="228">
          <cell r="B228" t="str">
            <v>خ هـ 5</v>
          </cell>
        </row>
        <row r="229">
          <cell r="B229" t="str">
            <v>خ هـ 5</v>
          </cell>
        </row>
        <row r="230">
          <cell r="B230" t="str">
            <v>خ هـ 5</v>
          </cell>
        </row>
        <row r="231">
          <cell r="B231" t="str">
            <v>خ هـ 5</v>
          </cell>
        </row>
        <row r="232">
          <cell r="B232" t="str">
            <v>خ هـ 5</v>
          </cell>
        </row>
        <row r="233">
          <cell r="B233" t="str">
            <v>خ هـ 5</v>
          </cell>
        </row>
        <row r="234">
          <cell r="B234" t="str">
            <v>خ هـ 5</v>
          </cell>
        </row>
        <row r="235">
          <cell r="B235" t="str">
            <v>خ هـ 5</v>
          </cell>
        </row>
        <row r="236">
          <cell r="B236" t="str">
            <v>خ هـ 5</v>
          </cell>
        </row>
        <row r="237">
          <cell r="B237" t="str">
            <v>خ هـ 5</v>
          </cell>
        </row>
        <row r="238">
          <cell r="B238" t="str">
            <v>خ هـ 5</v>
          </cell>
        </row>
        <row r="239">
          <cell r="B239" t="str">
            <v>خ هـ 5</v>
          </cell>
        </row>
        <row r="240">
          <cell r="B240" t="str">
            <v>خ هـ 5</v>
          </cell>
        </row>
        <row r="241">
          <cell r="B241" t="str">
            <v>خ هـ 5</v>
          </cell>
        </row>
        <row r="242">
          <cell r="B242" t="str">
            <v>خ هـ 5</v>
          </cell>
        </row>
        <row r="243">
          <cell r="B243" t="str">
            <v>خ هـ 5</v>
          </cell>
        </row>
        <row r="244">
          <cell r="B244" t="str">
            <v>خ هـ 5</v>
          </cell>
        </row>
        <row r="245">
          <cell r="B245" t="str">
            <v>خ هـ 5</v>
          </cell>
        </row>
        <row r="246">
          <cell r="B246" t="str">
            <v>خ هـ 5</v>
          </cell>
        </row>
        <row r="247">
          <cell r="B247" t="str">
            <v>خ هـ 5</v>
          </cell>
        </row>
        <row r="248">
          <cell r="B248" t="str">
            <v>خ هـ 5</v>
          </cell>
        </row>
        <row r="249">
          <cell r="B249" t="str">
            <v>خ هـ 5</v>
          </cell>
        </row>
        <row r="250">
          <cell r="B250" t="str">
            <v>خ هـ 5</v>
          </cell>
        </row>
        <row r="251">
          <cell r="B251" t="str">
            <v>خ هـ 5</v>
          </cell>
        </row>
        <row r="252">
          <cell r="B252" t="str">
            <v>خ هـ 5</v>
          </cell>
        </row>
        <row r="253">
          <cell r="B253" t="str">
            <v>خ هـ 5</v>
          </cell>
        </row>
        <row r="254">
          <cell r="B254" t="str">
            <v>خ هـ 5</v>
          </cell>
        </row>
        <row r="255">
          <cell r="B255" t="str">
            <v>خ هـ 5</v>
          </cell>
        </row>
        <row r="256">
          <cell r="B256" t="str">
            <v>خ هـ 5</v>
          </cell>
        </row>
        <row r="257">
          <cell r="B257" t="str">
            <v>خ هـ 5</v>
          </cell>
        </row>
        <row r="258">
          <cell r="B258" t="str">
            <v>خ هـ 5</v>
          </cell>
        </row>
        <row r="259">
          <cell r="B259" t="str">
            <v>خ هـ 5</v>
          </cell>
        </row>
        <row r="260">
          <cell r="B260" t="str">
            <v>خ هـ 5</v>
          </cell>
        </row>
        <row r="261">
          <cell r="B261" t="str">
            <v>خ هـ 5</v>
          </cell>
        </row>
        <row r="262">
          <cell r="B262" t="str">
            <v>خ هـ 5</v>
          </cell>
        </row>
        <row r="263">
          <cell r="B263" t="str">
            <v>خ هـ 5</v>
          </cell>
        </row>
        <row r="264">
          <cell r="B264" t="str">
            <v>خ هـ 5</v>
          </cell>
        </row>
        <row r="265">
          <cell r="B265" t="str">
            <v>خ هـ 5</v>
          </cell>
        </row>
        <row r="266">
          <cell r="B266" t="str">
            <v>خ هـ 5</v>
          </cell>
        </row>
        <row r="267">
          <cell r="B267" t="str">
            <v>خ هـ 5</v>
          </cell>
        </row>
        <row r="268">
          <cell r="B268" t="str">
            <v>خ هـ 5</v>
          </cell>
        </row>
        <row r="269">
          <cell r="B269" t="str">
            <v>خ هـ 5</v>
          </cell>
        </row>
        <row r="270">
          <cell r="B270" t="str">
            <v>خ هـ 5</v>
          </cell>
        </row>
        <row r="271">
          <cell r="B271" t="str">
            <v>خ هـ 5</v>
          </cell>
        </row>
        <row r="272">
          <cell r="B272" t="str">
            <v>خ هـ 5</v>
          </cell>
        </row>
        <row r="273">
          <cell r="B273" t="str">
            <v>خ هـ 5</v>
          </cell>
        </row>
        <row r="274">
          <cell r="B274" t="str">
            <v>خ هـ 5</v>
          </cell>
        </row>
        <row r="275">
          <cell r="B275" t="str">
            <v>خ هـ 5</v>
          </cell>
        </row>
        <row r="276">
          <cell r="B276" t="str">
            <v>خ هـ 5</v>
          </cell>
        </row>
        <row r="277">
          <cell r="B277" t="str">
            <v>خ هـ 5</v>
          </cell>
        </row>
        <row r="278">
          <cell r="B278" t="str">
            <v>خ هـ 5</v>
          </cell>
        </row>
        <row r="279">
          <cell r="B279" t="str">
            <v>خ هـ 5</v>
          </cell>
        </row>
        <row r="280">
          <cell r="B280" t="str">
            <v>خ هـ 5</v>
          </cell>
        </row>
        <row r="281">
          <cell r="B281" t="str">
            <v>خ هـ 5</v>
          </cell>
        </row>
        <row r="282">
          <cell r="B282" t="str">
            <v>خ هـ 5</v>
          </cell>
        </row>
        <row r="283">
          <cell r="B283" t="str">
            <v>خ هـ 5</v>
          </cell>
        </row>
        <row r="284">
          <cell r="B284" t="str">
            <v>خ هـ 5</v>
          </cell>
        </row>
        <row r="285">
          <cell r="B285" t="str">
            <v>خ هـ 5</v>
          </cell>
        </row>
        <row r="286">
          <cell r="B286" t="str">
            <v>خ هـ 5</v>
          </cell>
        </row>
        <row r="287">
          <cell r="B287" t="str">
            <v>خ هـ 5</v>
          </cell>
        </row>
        <row r="288">
          <cell r="B288" t="str">
            <v>خ هـ 5</v>
          </cell>
        </row>
        <row r="289">
          <cell r="B289" t="str">
            <v>خ هـ 5</v>
          </cell>
        </row>
        <row r="290">
          <cell r="B290" t="str">
            <v>خ هـ 5</v>
          </cell>
        </row>
        <row r="291">
          <cell r="B291" t="str">
            <v>خ هـ 5</v>
          </cell>
        </row>
        <row r="292">
          <cell r="B292" t="str">
            <v>خ هـ 5</v>
          </cell>
        </row>
        <row r="293">
          <cell r="B293" t="str">
            <v>خ هـ 5</v>
          </cell>
        </row>
        <row r="294">
          <cell r="B294" t="str">
            <v>خ هـ 5</v>
          </cell>
        </row>
        <row r="295">
          <cell r="B295" t="str">
            <v>خ هـ 5</v>
          </cell>
        </row>
        <row r="296">
          <cell r="B296" t="str">
            <v>خ هـ 5</v>
          </cell>
        </row>
        <row r="297">
          <cell r="B297" t="str">
            <v>خ هـ 5</v>
          </cell>
        </row>
        <row r="298">
          <cell r="B298" t="str">
            <v>خ هـ 5</v>
          </cell>
        </row>
        <row r="299">
          <cell r="B299" t="str">
            <v>خ هـ 5</v>
          </cell>
        </row>
        <row r="300">
          <cell r="B300" t="str">
            <v>خ هـ 5</v>
          </cell>
        </row>
        <row r="301">
          <cell r="B301" t="str">
            <v>خ هـ 5</v>
          </cell>
        </row>
        <row r="302">
          <cell r="B302" t="str">
            <v>خ هـ 5</v>
          </cell>
        </row>
        <row r="303">
          <cell r="B303" t="str">
            <v>خ هـ 5</v>
          </cell>
        </row>
        <row r="304">
          <cell r="B304" t="str">
            <v>خ هـ 5</v>
          </cell>
        </row>
        <row r="305">
          <cell r="B305" t="str">
            <v>خ هـ 5</v>
          </cell>
        </row>
        <row r="306">
          <cell r="B306" t="str">
            <v>خ هـ 5</v>
          </cell>
        </row>
        <row r="307">
          <cell r="B307" t="str">
            <v>خ هـ 5</v>
          </cell>
        </row>
        <row r="308">
          <cell r="B308" t="str">
            <v>خ هـ 5</v>
          </cell>
        </row>
        <row r="309">
          <cell r="B309" t="str">
            <v>خ هـ 5</v>
          </cell>
        </row>
        <row r="310">
          <cell r="B310" t="str">
            <v>خ هـ 5</v>
          </cell>
        </row>
        <row r="311">
          <cell r="B311" t="str">
            <v>خ هـ 5</v>
          </cell>
        </row>
        <row r="312">
          <cell r="B312" t="str">
            <v>خ هـ 5</v>
          </cell>
        </row>
        <row r="313">
          <cell r="B313" t="str">
            <v>خ هـ 5</v>
          </cell>
        </row>
        <row r="314">
          <cell r="B314" t="str">
            <v>خ هـ 5</v>
          </cell>
        </row>
        <row r="315">
          <cell r="B315" t="str">
            <v>خ هـ 5</v>
          </cell>
        </row>
        <row r="316">
          <cell r="B316" t="str">
            <v>خ هـ 5</v>
          </cell>
        </row>
        <row r="317">
          <cell r="B317" t="str">
            <v>خ هـ 5</v>
          </cell>
        </row>
        <row r="318">
          <cell r="B318" t="str">
            <v>خ هـ 5</v>
          </cell>
        </row>
        <row r="319">
          <cell r="B319" t="str">
            <v>خ هـ 5</v>
          </cell>
        </row>
        <row r="320">
          <cell r="B320" t="str">
            <v>خ هـ 5</v>
          </cell>
        </row>
        <row r="321">
          <cell r="B321" t="str">
            <v>خ هـ 5</v>
          </cell>
        </row>
        <row r="322">
          <cell r="B322" t="str">
            <v>خ هـ 5</v>
          </cell>
        </row>
        <row r="323">
          <cell r="B323" t="str">
            <v>خ هـ 5</v>
          </cell>
        </row>
        <row r="324">
          <cell r="B324" t="str">
            <v>خ هـ 5</v>
          </cell>
        </row>
        <row r="325">
          <cell r="B325" t="str">
            <v>خ هـ 5</v>
          </cell>
        </row>
        <row r="326">
          <cell r="B326" t="str">
            <v>خ هـ 5</v>
          </cell>
        </row>
        <row r="327">
          <cell r="B327" t="str">
            <v>خ هـ 5</v>
          </cell>
        </row>
        <row r="328">
          <cell r="B328" t="str">
            <v>خ هـ 5</v>
          </cell>
        </row>
        <row r="329">
          <cell r="B329" t="str">
            <v>خ هـ 5</v>
          </cell>
        </row>
        <row r="330">
          <cell r="B330" t="str">
            <v>خ هـ 5</v>
          </cell>
        </row>
        <row r="331">
          <cell r="B331" t="str">
            <v>خ هـ 5</v>
          </cell>
        </row>
        <row r="332">
          <cell r="B332" t="str">
            <v>خ هـ 5</v>
          </cell>
        </row>
        <row r="333">
          <cell r="B333" t="str">
            <v>خ هـ 5</v>
          </cell>
        </row>
        <row r="334">
          <cell r="B334" t="str">
            <v>خ هـ 5</v>
          </cell>
        </row>
        <row r="335">
          <cell r="B335" t="str">
            <v>خ هـ 5</v>
          </cell>
        </row>
        <row r="336">
          <cell r="B336" t="str">
            <v>خ هـ 5</v>
          </cell>
        </row>
        <row r="337">
          <cell r="B337" t="str">
            <v>خ هـ 5</v>
          </cell>
        </row>
        <row r="338">
          <cell r="B338" t="str">
            <v>خ هـ 5</v>
          </cell>
        </row>
        <row r="339">
          <cell r="B339" t="str">
            <v>خ هـ 5</v>
          </cell>
        </row>
        <row r="340">
          <cell r="B340" t="str">
            <v>خ هـ 5</v>
          </cell>
        </row>
        <row r="341">
          <cell r="B341" t="str">
            <v>خ هـ 5</v>
          </cell>
        </row>
        <row r="342">
          <cell r="B342" t="str">
            <v>خ هـ 5</v>
          </cell>
        </row>
        <row r="343">
          <cell r="B343" t="str">
            <v>خ هـ 5</v>
          </cell>
        </row>
        <row r="344">
          <cell r="B344" t="str">
            <v>خ هـ 5</v>
          </cell>
        </row>
        <row r="345">
          <cell r="B345" t="str">
            <v>خ هـ 5</v>
          </cell>
        </row>
        <row r="346">
          <cell r="B346" t="str">
            <v>خ هـ 5</v>
          </cell>
        </row>
        <row r="347">
          <cell r="B347" t="str">
            <v>خ هـ 5</v>
          </cell>
        </row>
        <row r="348">
          <cell r="B348" t="str">
            <v>خ هـ 5</v>
          </cell>
        </row>
        <row r="349">
          <cell r="B349" t="str">
            <v>خ هـ 5</v>
          </cell>
        </row>
        <row r="350">
          <cell r="B350" t="str">
            <v>خ هـ 5</v>
          </cell>
        </row>
        <row r="351">
          <cell r="B351" t="str">
            <v>خ هـ 5</v>
          </cell>
        </row>
        <row r="352">
          <cell r="B352" t="str">
            <v>خ هـ 5</v>
          </cell>
        </row>
        <row r="353">
          <cell r="B353" t="str">
            <v>خ هـ 5</v>
          </cell>
        </row>
        <row r="354">
          <cell r="B354" t="str">
            <v>خ هـ 5</v>
          </cell>
        </row>
        <row r="355">
          <cell r="B355" t="str">
            <v>خ هـ 5</v>
          </cell>
        </row>
        <row r="356">
          <cell r="B356" t="str">
            <v>خ هـ 5</v>
          </cell>
        </row>
        <row r="357">
          <cell r="B357" t="str">
            <v>خ هـ 5</v>
          </cell>
        </row>
        <row r="358">
          <cell r="B358" t="str">
            <v>خ هـ 5</v>
          </cell>
        </row>
        <row r="359">
          <cell r="B359" t="str">
            <v>خ هـ 5</v>
          </cell>
        </row>
        <row r="360">
          <cell r="B360" t="str">
            <v>خ هـ 5</v>
          </cell>
        </row>
        <row r="361">
          <cell r="B361" t="str">
            <v>خ هـ 5</v>
          </cell>
        </row>
        <row r="362">
          <cell r="B362" t="str">
            <v>خ هـ 5</v>
          </cell>
        </row>
        <row r="363">
          <cell r="B363" t="str">
            <v>خ هـ 5</v>
          </cell>
        </row>
        <row r="364">
          <cell r="B364" t="str">
            <v>خ هـ 5</v>
          </cell>
        </row>
        <row r="365">
          <cell r="B365" t="str">
            <v>خ هـ 5</v>
          </cell>
        </row>
        <row r="366">
          <cell r="B366" t="str">
            <v>خ هـ 5</v>
          </cell>
        </row>
        <row r="367">
          <cell r="B367" t="str">
            <v>خ هـ 5</v>
          </cell>
        </row>
        <row r="368">
          <cell r="B368" t="str">
            <v>خ هـ 5</v>
          </cell>
        </row>
        <row r="369">
          <cell r="B369" t="str">
            <v>خ هـ 5</v>
          </cell>
        </row>
        <row r="370">
          <cell r="B370" t="str">
            <v>خ هـ 5</v>
          </cell>
        </row>
        <row r="371">
          <cell r="B371" t="str">
            <v>خ هـ 5</v>
          </cell>
        </row>
        <row r="372">
          <cell r="B372" t="str">
            <v>خ هـ 5</v>
          </cell>
        </row>
        <row r="373">
          <cell r="B373" t="str">
            <v>خ هـ 5</v>
          </cell>
        </row>
        <row r="374">
          <cell r="B374" t="str">
            <v>خ هـ 5</v>
          </cell>
        </row>
        <row r="375">
          <cell r="B375" t="str">
            <v>خ هـ 5</v>
          </cell>
        </row>
        <row r="376">
          <cell r="B376" t="str">
            <v>خ هـ 5</v>
          </cell>
        </row>
        <row r="377">
          <cell r="B377" t="str">
            <v>خ هـ 5</v>
          </cell>
        </row>
        <row r="378">
          <cell r="B378" t="str">
            <v>خ هـ 5</v>
          </cell>
        </row>
        <row r="379">
          <cell r="B379" t="str">
            <v>خ هـ 5</v>
          </cell>
        </row>
        <row r="380">
          <cell r="B380" t="str">
            <v>خ هـ 5</v>
          </cell>
        </row>
        <row r="381">
          <cell r="B381" t="str">
            <v>خ هـ 5</v>
          </cell>
        </row>
        <row r="382">
          <cell r="B382" t="str">
            <v>خ هـ 5</v>
          </cell>
        </row>
        <row r="383">
          <cell r="B383" t="str">
            <v>خ هـ 5</v>
          </cell>
        </row>
        <row r="384">
          <cell r="B384" t="str">
            <v>خ هـ 5</v>
          </cell>
        </row>
        <row r="385">
          <cell r="B385" t="str">
            <v>خ هـ 5</v>
          </cell>
        </row>
        <row r="386">
          <cell r="B386" t="str">
            <v>خ هـ 5</v>
          </cell>
        </row>
        <row r="387">
          <cell r="B387" t="str">
            <v>خ هـ 5</v>
          </cell>
        </row>
        <row r="388">
          <cell r="B388" t="str">
            <v>خ هـ 5</v>
          </cell>
        </row>
        <row r="389">
          <cell r="B389" t="str">
            <v>خ هـ 5</v>
          </cell>
        </row>
        <row r="390">
          <cell r="B390" t="str">
            <v>خ هـ 5</v>
          </cell>
        </row>
        <row r="391">
          <cell r="B391" t="str">
            <v>خ هـ 5</v>
          </cell>
        </row>
        <row r="392">
          <cell r="B392" t="str">
            <v>خ هـ 5</v>
          </cell>
        </row>
        <row r="393">
          <cell r="B393" t="str">
            <v>خ هـ 5</v>
          </cell>
        </row>
        <row r="394">
          <cell r="B394" t="str">
            <v>خ هـ 5</v>
          </cell>
        </row>
        <row r="395">
          <cell r="B395" t="str">
            <v>خ هـ 5</v>
          </cell>
        </row>
        <row r="396">
          <cell r="B396" t="str">
            <v>خ هـ 5</v>
          </cell>
        </row>
        <row r="397">
          <cell r="B397" t="str">
            <v>خ هـ 5</v>
          </cell>
        </row>
        <row r="398">
          <cell r="B398" t="str">
            <v>خ هـ 5</v>
          </cell>
        </row>
        <row r="399">
          <cell r="B399" t="str">
            <v>خ هـ 5</v>
          </cell>
        </row>
        <row r="400">
          <cell r="B400" t="str">
            <v>خ هـ 5</v>
          </cell>
        </row>
        <row r="401">
          <cell r="B401" t="str">
            <v>خ هـ 5</v>
          </cell>
        </row>
        <row r="402">
          <cell r="B402" t="str">
            <v>خ هـ 5</v>
          </cell>
        </row>
        <row r="403">
          <cell r="B403" t="str">
            <v>خ هـ 5</v>
          </cell>
        </row>
        <row r="404">
          <cell r="B404" t="str">
            <v>خ هـ 5</v>
          </cell>
        </row>
        <row r="405">
          <cell r="B405" t="str">
            <v>خ هـ 5</v>
          </cell>
        </row>
        <row r="406">
          <cell r="B406" t="str">
            <v>خ هـ 5</v>
          </cell>
        </row>
        <row r="407">
          <cell r="B407" t="str">
            <v>خ هـ 5</v>
          </cell>
        </row>
        <row r="408">
          <cell r="B408" t="str">
            <v>خ هـ 5</v>
          </cell>
        </row>
        <row r="409">
          <cell r="B409" t="str">
            <v>خ هـ 5</v>
          </cell>
        </row>
        <row r="410">
          <cell r="B410" t="str">
            <v>خ هـ 5</v>
          </cell>
        </row>
        <row r="411">
          <cell r="B411" t="str">
            <v>خ هـ 5</v>
          </cell>
        </row>
        <row r="412">
          <cell r="B412" t="str">
            <v>خ هـ 5</v>
          </cell>
        </row>
        <row r="413">
          <cell r="B413" t="str">
            <v>خ هـ 5</v>
          </cell>
        </row>
        <row r="414">
          <cell r="B414" t="str">
            <v>خ هـ 5</v>
          </cell>
        </row>
        <row r="415">
          <cell r="B415" t="str">
            <v>خ هـ 5</v>
          </cell>
        </row>
        <row r="416">
          <cell r="B416" t="str">
            <v>خ هـ 5</v>
          </cell>
        </row>
        <row r="417">
          <cell r="B417" t="str">
            <v>خ هـ 5</v>
          </cell>
        </row>
        <row r="418">
          <cell r="B418" t="str">
            <v>خ هـ 5</v>
          </cell>
        </row>
        <row r="419">
          <cell r="B419" t="str">
            <v>خ هـ 5</v>
          </cell>
        </row>
        <row r="420">
          <cell r="B420" t="str">
            <v>خ هـ 5</v>
          </cell>
        </row>
        <row r="421">
          <cell r="B421" t="str">
            <v>خ هـ 5</v>
          </cell>
        </row>
        <row r="422">
          <cell r="B422" t="str">
            <v>خ هـ 5</v>
          </cell>
        </row>
        <row r="423">
          <cell r="B423" t="str">
            <v>خ هـ 5</v>
          </cell>
        </row>
        <row r="424">
          <cell r="B424" t="str">
            <v>خ هـ 5</v>
          </cell>
        </row>
        <row r="425">
          <cell r="B425" t="str">
            <v>خ هـ 5</v>
          </cell>
        </row>
        <row r="426">
          <cell r="B426" t="str">
            <v>خ هـ 5</v>
          </cell>
        </row>
        <row r="427">
          <cell r="B427" t="str">
            <v>خ هـ 5</v>
          </cell>
        </row>
        <row r="428">
          <cell r="B428" t="str">
            <v>خ هـ 5</v>
          </cell>
        </row>
        <row r="429">
          <cell r="B429" t="str">
            <v>خ هـ 5</v>
          </cell>
        </row>
        <row r="430">
          <cell r="B430" t="str">
            <v>خ هـ 5</v>
          </cell>
        </row>
        <row r="431">
          <cell r="B431" t="str">
            <v>خ هـ 5</v>
          </cell>
        </row>
        <row r="432">
          <cell r="B432" t="str">
            <v>خ هـ 5</v>
          </cell>
        </row>
        <row r="433">
          <cell r="B433" t="str">
            <v>خ هـ 5</v>
          </cell>
        </row>
        <row r="434">
          <cell r="B434" t="str">
            <v>خ هـ 5</v>
          </cell>
        </row>
        <row r="435">
          <cell r="B435" t="str">
            <v>خ هـ 5</v>
          </cell>
        </row>
        <row r="436">
          <cell r="B436" t="str">
            <v>خ هـ 5</v>
          </cell>
        </row>
        <row r="437">
          <cell r="B437" t="str">
            <v>خ هـ 5</v>
          </cell>
        </row>
        <row r="438">
          <cell r="B438" t="str">
            <v>خ هـ 5</v>
          </cell>
        </row>
        <row r="439">
          <cell r="B439" t="str">
            <v>خ هـ 5</v>
          </cell>
        </row>
        <row r="440">
          <cell r="B440" t="str">
            <v>خ هـ 5</v>
          </cell>
        </row>
        <row r="441">
          <cell r="B441" t="str">
            <v>خ هـ 5</v>
          </cell>
        </row>
        <row r="442">
          <cell r="B442" t="str">
            <v>خ هـ 5</v>
          </cell>
        </row>
        <row r="443">
          <cell r="B443" t="str">
            <v>خ هـ 5</v>
          </cell>
        </row>
        <row r="444">
          <cell r="B444" t="str">
            <v>خ هـ 5</v>
          </cell>
        </row>
        <row r="445">
          <cell r="B445" t="str">
            <v>خ هـ 5</v>
          </cell>
        </row>
        <row r="446">
          <cell r="B446" t="str">
            <v>خ هـ 5</v>
          </cell>
        </row>
        <row r="447">
          <cell r="B447" t="str">
            <v>خ هـ 5</v>
          </cell>
        </row>
        <row r="448">
          <cell r="B448" t="str">
            <v>خ هـ 5</v>
          </cell>
        </row>
        <row r="449">
          <cell r="B449" t="str">
            <v>خ هـ 5</v>
          </cell>
        </row>
        <row r="450">
          <cell r="B450" t="str">
            <v>خ هـ 5</v>
          </cell>
        </row>
        <row r="451">
          <cell r="B451" t="str">
            <v>خ هـ 5</v>
          </cell>
        </row>
        <row r="452">
          <cell r="B452" t="str">
            <v>خ هـ 5</v>
          </cell>
        </row>
        <row r="453">
          <cell r="B453" t="str">
            <v>خ هـ 5</v>
          </cell>
        </row>
        <row r="454">
          <cell r="B454" t="str">
            <v>خ هـ 5</v>
          </cell>
        </row>
        <row r="455">
          <cell r="B455" t="str">
            <v>خ هـ 5</v>
          </cell>
        </row>
        <row r="456">
          <cell r="B456" t="str">
            <v>خ هـ 5</v>
          </cell>
        </row>
        <row r="457">
          <cell r="B457" t="str">
            <v>خ هـ 5</v>
          </cell>
        </row>
        <row r="458">
          <cell r="B458" t="str">
            <v>خ هـ 5</v>
          </cell>
        </row>
        <row r="459">
          <cell r="B459" t="str">
            <v>خ هـ 5</v>
          </cell>
        </row>
        <row r="460">
          <cell r="B460" t="str">
            <v>خ هـ 5</v>
          </cell>
        </row>
        <row r="461">
          <cell r="B461" t="str">
            <v>خ هـ 5</v>
          </cell>
        </row>
        <row r="462">
          <cell r="B462" t="str">
            <v>خ هـ 5</v>
          </cell>
        </row>
        <row r="463">
          <cell r="B463" t="str">
            <v>خ هـ 5</v>
          </cell>
        </row>
        <row r="464">
          <cell r="B464" t="str">
            <v>خ هـ 5</v>
          </cell>
        </row>
        <row r="465">
          <cell r="B465" t="str">
            <v>خ هـ 5</v>
          </cell>
        </row>
        <row r="466">
          <cell r="B466" t="str">
            <v>خ هـ 5</v>
          </cell>
        </row>
        <row r="467">
          <cell r="B467" t="str">
            <v>خ هـ 5</v>
          </cell>
        </row>
        <row r="468">
          <cell r="B468" t="str">
            <v>خ هـ 5</v>
          </cell>
        </row>
        <row r="469">
          <cell r="B469" t="str">
            <v>خ هـ 5</v>
          </cell>
        </row>
        <row r="470">
          <cell r="B470" t="str">
            <v>خ هـ 5</v>
          </cell>
        </row>
        <row r="471">
          <cell r="B471" t="str">
            <v>خ هـ 5</v>
          </cell>
        </row>
        <row r="472">
          <cell r="B472" t="str">
            <v>خ هـ 5</v>
          </cell>
        </row>
        <row r="473">
          <cell r="B473" t="str">
            <v>خ هـ 5</v>
          </cell>
        </row>
        <row r="474">
          <cell r="B474" t="str">
            <v>خ هـ 5</v>
          </cell>
        </row>
        <row r="475">
          <cell r="B475" t="str">
            <v>خ هـ 5</v>
          </cell>
        </row>
        <row r="476">
          <cell r="B476" t="str">
            <v>خ هـ 5</v>
          </cell>
        </row>
        <row r="477">
          <cell r="B477" t="str">
            <v>خ هـ 5</v>
          </cell>
        </row>
        <row r="478">
          <cell r="B478" t="str">
            <v>خ هـ 5</v>
          </cell>
        </row>
        <row r="479">
          <cell r="B479" t="str">
            <v>خ هـ 5</v>
          </cell>
        </row>
        <row r="480">
          <cell r="B480" t="str">
            <v>خ هـ 5</v>
          </cell>
        </row>
        <row r="481">
          <cell r="B481" t="str">
            <v>خ هـ 5</v>
          </cell>
        </row>
        <row r="482">
          <cell r="B482" t="str">
            <v>خ هـ 5</v>
          </cell>
        </row>
        <row r="483">
          <cell r="B483" t="str">
            <v>خ هـ 5</v>
          </cell>
        </row>
        <row r="484">
          <cell r="B484" t="str">
            <v>خ هـ 5</v>
          </cell>
        </row>
        <row r="485">
          <cell r="B485" t="str">
            <v>خ هـ 5</v>
          </cell>
        </row>
        <row r="486">
          <cell r="B486" t="str">
            <v>خ هـ 5</v>
          </cell>
        </row>
        <row r="487">
          <cell r="B487" t="str">
            <v>خ هـ 5</v>
          </cell>
        </row>
        <row r="488">
          <cell r="B488" t="str">
            <v>خ هـ 5</v>
          </cell>
        </row>
        <row r="489">
          <cell r="B489" t="str">
            <v>خ هـ 5</v>
          </cell>
        </row>
        <row r="490">
          <cell r="B490" t="str">
            <v>خ هـ 5</v>
          </cell>
        </row>
        <row r="491">
          <cell r="B491" t="str">
            <v>خ هـ 5</v>
          </cell>
        </row>
        <row r="492">
          <cell r="B492" t="str">
            <v>خ هـ 5</v>
          </cell>
        </row>
        <row r="493">
          <cell r="B493" t="str">
            <v>خ هـ 5</v>
          </cell>
        </row>
        <row r="494">
          <cell r="B494" t="str">
            <v>خ هـ 5</v>
          </cell>
        </row>
        <row r="495">
          <cell r="B495" t="str">
            <v>خ هـ 5</v>
          </cell>
        </row>
        <row r="496">
          <cell r="B496" t="str">
            <v>خ هـ 5</v>
          </cell>
        </row>
        <row r="497">
          <cell r="B497" t="str">
            <v>خ هـ 5</v>
          </cell>
        </row>
        <row r="498">
          <cell r="B498" t="str">
            <v>خ هـ 5</v>
          </cell>
        </row>
        <row r="499">
          <cell r="B499" t="str">
            <v>خ هـ 5</v>
          </cell>
        </row>
        <row r="500">
          <cell r="B500" t="str">
            <v>خ هـ 5</v>
          </cell>
        </row>
        <row r="501">
          <cell r="B501" t="str">
            <v>خ هـ 5</v>
          </cell>
        </row>
        <row r="502">
          <cell r="B502" t="str">
            <v>خ هـ 5</v>
          </cell>
        </row>
        <row r="503">
          <cell r="B503" t="str">
            <v>خ هـ 5</v>
          </cell>
        </row>
        <row r="504">
          <cell r="B504" t="str">
            <v>خ هـ 5</v>
          </cell>
        </row>
        <row r="505">
          <cell r="B505" t="str">
            <v>خ هـ 5</v>
          </cell>
        </row>
        <row r="506">
          <cell r="B506" t="str">
            <v>خ هـ 5</v>
          </cell>
        </row>
        <row r="507">
          <cell r="B507" t="str">
            <v>خ هـ 5</v>
          </cell>
        </row>
        <row r="508">
          <cell r="B508" t="str">
            <v>خ هـ 5</v>
          </cell>
        </row>
        <row r="509">
          <cell r="B509" t="str">
            <v>خ هـ 5</v>
          </cell>
        </row>
        <row r="510">
          <cell r="B510" t="str">
            <v>خ هـ 5</v>
          </cell>
        </row>
        <row r="511">
          <cell r="B511" t="str">
            <v>خ هـ 5</v>
          </cell>
        </row>
        <row r="512">
          <cell r="B512" t="str">
            <v>خ هـ 5</v>
          </cell>
        </row>
        <row r="513">
          <cell r="B513" t="str">
            <v>خ هـ 5</v>
          </cell>
        </row>
        <row r="514">
          <cell r="B514" t="str">
            <v>خ هـ 5</v>
          </cell>
        </row>
        <row r="515">
          <cell r="B515" t="str">
            <v>خ هـ 5</v>
          </cell>
        </row>
        <row r="516">
          <cell r="B516" t="str">
            <v>خ هـ 5</v>
          </cell>
        </row>
        <row r="517">
          <cell r="B517" t="str">
            <v>خ هـ 5</v>
          </cell>
        </row>
        <row r="518">
          <cell r="B518" t="str">
            <v>خ هـ 5</v>
          </cell>
        </row>
        <row r="519">
          <cell r="B519" t="str">
            <v>خ هـ 5</v>
          </cell>
        </row>
        <row r="520">
          <cell r="B520" t="str">
            <v>خ هـ 5</v>
          </cell>
        </row>
        <row r="521">
          <cell r="B521" t="str">
            <v>خ هـ 5</v>
          </cell>
        </row>
        <row r="522">
          <cell r="B522" t="str">
            <v>خ هـ 5</v>
          </cell>
        </row>
        <row r="523">
          <cell r="B523" t="str">
            <v>خ هـ 5</v>
          </cell>
        </row>
        <row r="524">
          <cell r="B524" t="str">
            <v>خ هـ 5</v>
          </cell>
        </row>
        <row r="525">
          <cell r="B525" t="str">
            <v>خ هـ 5</v>
          </cell>
        </row>
        <row r="526">
          <cell r="B526" t="str">
            <v>خ هـ 5</v>
          </cell>
        </row>
        <row r="527">
          <cell r="B527" t="str">
            <v>خ هـ 5</v>
          </cell>
        </row>
        <row r="528">
          <cell r="B528" t="str">
            <v>خ هـ 5</v>
          </cell>
        </row>
        <row r="529">
          <cell r="B529" t="str">
            <v>خ هـ 5</v>
          </cell>
        </row>
        <row r="530">
          <cell r="B530" t="str">
            <v>خ هـ 5</v>
          </cell>
        </row>
        <row r="531">
          <cell r="B531" t="str">
            <v>خ هـ 5</v>
          </cell>
        </row>
        <row r="532">
          <cell r="B532" t="str">
            <v>خ هـ 5</v>
          </cell>
        </row>
        <row r="533">
          <cell r="B533" t="str">
            <v>خ هـ 5</v>
          </cell>
        </row>
        <row r="534">
          <cell r="B534" t="str">
            <v>خ هـ 5</v>
          </cell>
        </row>
        <row r="535">
          <cell r="B535" t="str">
            <v>خ هـ 5</v>
          </cell>
        </row>
        <row r="536">
          <cell r="B536" t="str">
            <v>خ هـ 5</v>
          </cell>
        </row>
        <row r="537">
          <cell r="B537" t="str">
            <v>خ هـ 5</v>
          </cell>
        </row>
        <row r="538">
          <cell r="B538" t="str">
            <v>خ هـ 5</v>
          </cell>
        </row>
        <row r="539">
          <cell r="B539" t="str">
            <v>خ هـ 5</v>
          </cell>
        </row>
        <row r="540">
          <cell r="B540" t="str">
            <v>خ هـ 5</v>
          </cell>
        </row>
        <row r="541">
          <cell r="B541" t="str">
            <v>خ هـ 5</v>
          </cell>
        </row>
        <row r="542">
          <cell r="B542" t="str">
            <v>خ هـ 5</v>
          </cell>
        </row>
        <row r="543">
          <cell r="B543" t="str">
            <v>خ هـ 5</v>
          </cell>
        </row>
        <row r="544">
          <cell r="B544" t="str">
            <v>خ هـ 5</v>
          </cell>
        </row>
        <row r="545">
          <cell r="B545" t="str">
            <v>خ هـ 5</v>
          </cell>
        </row>
        <row r="546">
          <cell r="B546" t="str">
            <v>خ هـ 5</v>
          </cell>
        </row>
        <row r="547">
          <cell r="B547" t="str">
            <v>خ هـ 5</v>
          </cell>
        </row>
        <row r="548">
          <cell r="B548" t="str">
            <v>خ هـ 5</v>
          </cell>
        </row>
        <row r="549">
          <cell r="B549" t="str">
            <v>خ هـ 5</v>
          </cell>
        </row>
        <row r="550">
          <cell r="B550" t="str">
            <v>خ هـ 5</v>
          </cell>
        </row>
        <row r="551">
          <cell r="B551" t="str">
            <v>خ هـ 5</v>
          </cell>
        </row>
        <row r="552">
          <cell r="B552" t="str">
            <v>خ هـ 5</v>
          </cell>
        </row>
        <row r="553">
          <cell r="B553" t="str">
            <v>خ هـ 5</v>
          </cell>
        </row>
        <row r="554">
          <cell r="B554" t="str">
            <v>خ هـ 5</v>
          </cell>
        </row>
        <row r="555">
          <cell r="B555" t="str">
            <v>خ هـ 5</v>
          </cell>
        </row>
        <row r="556">
          <cell r="B556" t="str">
            <v>خ هـ 5</v>
          </cell>
        </row>
        <row r="557">
          <cell r="B557" t="str">
            <v>خ هـ 5</v>
          </cell>
        </row>
        <row r="558">
          <cell r="B558" t="str">
            <v>خ هـ 5</v>
          </cell>
        </row>
        <row r="559">
          <cell r="B559" t="str">
            <v>خ هـ 5</v>
          </cell>
        </row>
        <row r="560">
          <cell r="B560" t="str">
            <v>خ هـ 5</v>
          </cell>
        </row>
        <row r="561">
          <cell r="B561" t="str">
            <v>خ هـ 5</v>
          </cell>
        </row>
        <row r="562">
          <cell r="B562" t="str">
            <v>خ هـ 5</v>
          </cell>
        </row>
        <row r="563">
          <cell r="B563" t="str">
            <v>خ هـ 5</v>
          </cell>
        </row>
        <row r="564">
          <cell r="B564" t="str">
            <v>خ هـ 5</v>
          </cell>
        </row>
        <row r="565">
          <cell r="B565" t="str">
            <v>خ هـ 5</v>
          </cell>
        </row>
        <row r="566">
          <cell r="B566" t="str">
            <v>خ هـ 5</v>
          </cell>
        </row>
        <row r="567">
          <cell r="B567" t="str">
            <v>خ هـ 5</v>
          </cell>
        </row>
        <row r="568">
          <cell r="B568" t="str">
            <v>خ هـ 5</v>
          </cell>
        </row>
        <row r="569">
          <cell r="B569" t="str">
            <v>خ هـ 5</v>
          </cell>
        </row>
        <row r="570">
          <cell r="B570" t="str">
            <v>خ هـ 5</v>
          </cell>
        </row>
        <row r="571">
          <cell r="B571" t="str">
            <v>خ هـ 5</v>
          </cell>
        </row>
        <row r="572">
          <cell r="B572" t="str">
            <v>خ هـ 5</v>
          </cell>
        </row>
        <row r="573">
          <cell r="B573" t="str">
            <v>خ هـ 5</v>
          </cell>
        </row>
        <row r="574">
          <cell r="B574" t="str">
            <v>خ هـ 5</v>
          </cell>
        </row>
        <row r="575">
          <cell r="B575" t="str">
            <v>خ هـ 5</v>
          </cell>
        </row>
        <row r="576">
          <cell r="B576" t="str">
            <v>خ هـ 5</v>
          </cell>
        </row>
        <row r="577">
          <cell r="B577" t="str">
            <v>خ هـ 5</v>
          </cell>
        </row>
        <row r="578">
          <cell r="B578" t="str">
            <v>خ هـ 5</v>
          </cell>
        </row>
        <row r="579">
          <cell r="B579" t="str">
            <v>خ هـ 5</v>
          </cell>
        </row>
        <row r="580">
          <cell r="B580" t="str">
            <v>خ هـ 5</v>
          </cell>
        </row>
        <row r="581">
          <cell r="B581" t="str">
            <v>خ هـ 5</v>
          </cell>
        </row>
        <row r="582">
          <cell r="B582" t="str">
            <v>خ هـ 5</v>
          </cell>
        </row>
        <row r="583">
          <cell r="B583" t="str">
            <v>خ هـ 5</v>
          </cell>
        </row>
        <row r="584">
          <cell r="B584" t="str">
            <v>خ هـ 5</v>
          </cell>
        </row>
        <row r="585">
          <cell r="B585" t="str">
            <v>خ هـ 5</v>
          </cell>
        </row>
        <row r="586">
          <cell r="B586" t="str">
            <v>خ هـ 5</v>
          </cell>
        </row>
        <row r="587">
          <cell r="B587" t="str">
            <v>خ هـ 5</v>
          </cell>
        </row>
        <row r="588">
          <cell r="B588" t="str">
            <v>خ هـ 5</v>
          </cell>
        </row>
        <row r="589">
          <cell r="B589" t="str">
            <v>خ هـ 5</v>
          </cell>
        </row>
        <row r="590">
          <cell r="B590" t="str">
            <v>خ هـ 5</v>
          </cell>
        </row>
        <row r="591">
          <cell r="B591" t="str">
            <v>خ هـ 5</v>
          </cell>
        </row>
        <row r="592">
          <cell r="B592" t="str">
            <v>خ هـ 5</v>
          </cell>
        </row>
        <row r="593">
          <cell r="B593" t="str">
            <v>خ هـ 5</v>
          </cell>
        </row>
        <row r="594">
          <cell r="B594" t="str">
            <v>خ هـ 5</v>
          </cell>
        </row>
        <row r="595">
          <cell r="B595" t="str">
            <v>خ هـ 5</v>
          </cell>
        </row>
        <row r="596">
          <cell r="B596" t="str">
            <v>خ هـ 5</v>
          </cell>
        </row>
        <row r="597">
          <cell r="B597" t="str">
            <v>خ هـ 5</v>
          </cell>
        </row>
        <row r="598">
          <cell r="B598" t="str">
            <v>خ هـ 5</v>
          </cell>
        </row>
        <row r="599">
          <cell r="B599" t="str">
            <v>خ هـ 5</v>
          </cell>
        </row>
        <row r="600">
          <cell r="B600" t="str">
            <v>خ هـ 5</v>
          </cell>
        </row>
        <row r="601">
          <cell r="B601" t="str">
            <v>خ هـ 5</v>
          </cell>
        </row>
        <row r="602">
          <cell r="B602" t="str">
            <v>خ هـ 5</v>
          </cell>
        </row>
        <row r="603">
          <cell r="B603" t="str">
            <v>خ هـ 5</v>
          </cell>
        </row>
        <row r="604">
          <cell r="B604" t="str">
            <v>خ هـ 5</v>
          </cell>
        </row>
        <row r="605">
          <cell r="B605" t="str">
            <v>خ هـ 5</v>
          </cell>
        </row>
        <row r="606">
          <cell r="B606" t="str">
            <v>خ هـ 5</v>
          </cell>
        </row>
        <row r="607">
          <cell r="B607" t="str">
            <v>خ هـ 5</v>
          </cell>
        </row>
        <row r="608">
          <cell r="B608" t="str">
            <v>خ هـ 5</v>
          </cell>
        </row>
        <row r="609">
          <cell r="B609" t="str">
            <v>خ هـ 5</v>
          </cell>
        </row>
        <row r="610">
          <cell r="B610" t="str">
            <v>خ هـ 5</v>
          </cell>
        </row>
        <row r="611">
          <cell r="B611" t="str">
            <v>خ هـ 5</v>
          </cell>
        </row>
        <row r="612">
          <cell r="B612" t="str">
            <v>خ هـ 5</v>
          </cell>
        </row>
        <row r="613">
          <cell r="B613" t="str">
            <v>خ هـ 5</v>
          </cell>
        </row>
        <row r="614">
          <cell r="B614" t="str">
            <v>خ هـ 5</v>
          </cell>
        </row>
        <row r="615">
          <cell r="B615" t="str">
            <v>خ هـ 5</v>
          </cell>
        </row>
        <row r="616">
          <cell r="B616" t="str">
            <v>خ هـ 5</v>
          </cell>
        </row>
        <row r="617">
          <cell r="B617" t="str">
            <v>خ هـ 5</v>
          </cell>
        </row>
        <row r="618">
          <cell r="B618" t="str">
            <v>خ هـ 5</v>
          </cell>
        </row>
        <row r="619">
          <cell r="B619" t="str">
            <v>خ هـ 5</v>
          </cell>
        </row>
        <row r="620">
          <cell r="B620" t="str">
            <v>خ هـ 5</v>
          </cell>
        </row>
        <row r="621">
          <cell r="B621" t="str">
            <v>خ هـ 5</v>
          </cell>
        </row>
        <row r="622">
          <cell r="B622" t="str">
            <v>خ هـ 5</v>
          </cell>
        </row>
        <row r="623">
          <cell r="B623" t="str">
            <v>خ هـ 5</v>
          </cell>
        </row>
        <row r="624">
          <cell r="B624" t="str">
            <v>خ هـ 5</v>
          </cell>
        </row>
        <row r="625">
          <cell r="B625" t="str">
            <v>خ هـ 5</v>
          </cell>
        </row>
        <row r="632">
          <cell r="B632">
            <v>0</v>
          </cell>
        </row>
      </sheetData>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T07"/>
      <sheetName val="A"/>
      <sheetName val="azerty"/>
      <sheetName val="Tableau 07"/>
    </sheetNames>
    <sheetDataSet>
      <sheetData sheetId="0">
        <row r="1">
          <cell r="A1" t="str">
            <v>Prog</v>
          </cell>
          <cell r="B1" t="str">
            <v>Prog</v>
          </cell>
          <cell r="C1" t="str">
            <v>Direc</v>
          </cell>
          <cell r="D1" t="str">
            <v>Ministere</v>
          </cell>
          <cell r="E1" t="str">
            <v xml:space="preserve">N° Opération </v>
          </cell>
        </row>
        <row r="2">
          <cell r="A2" t="str">
            <v>NF517240901</v>
          </cell>
          <cell r="B2" t="str">
            <v>PCSC</v>
          </cell>
          <cell r="C2" t="str">
            <v>PME</v>
          </cell>
          <cell r="D2" t="str">
            <v xml:space="preserve">MINISTERE DES PME </v>
          </cell>
          <cell r="E2" t="str">
            <v>NF5.172.4.262.128.09.01</v>
          </cell>
        </row>
        <row r="3">
          <cell r="A3" t="str">
            <v>NF517240902</v>
          </cell>
          <cell r="B3" t="str">
            <v>PCSC</v>
          </cell>
          <cell r="C3" t="str">
            <v>PME</v>
          </cell>
          <cell r="D3" t="str">
            <v xml:space="preserve">MINISTERE DES PME </v>
          </cell>
          <cell r="E3" t="str">
            <v>NF5.172.4.262.128.09.02</v>
          </cell>
        </row>
        <row r="4">
          <cell r="A4" t="str">
            <v>NF522620614</v>
          </cell>
          <cell r="B4" t="str">
            <v>PCSC</v>
          </cell>
          <cell r="C4" t="str">
            <v>C.F</v>
          </cell>
          <cell r="D4" t="str">
            <v xml:space="preserve">DIRECTION DENERALE DES FORETS </v>
          </cell>
          <cell r="E4" t="str">
            <v>NF5.226.2.262.128.06.14</v>
          </cell>
        </row>
        <row r="5">
          <cell r="A5" t="str">
            <v>NF522620615</v>
          </cell>
          <cell r="B5" t="str">
            <v>PCSC</v>
          </cell>
          <cell r="C5" t="str">
            <v>C.F</v>
          </cell>
          <cell r="D5" t="str">
            <v xml:space="preserve">DIRECTION DENERALE DES FORETS </v>
          </cell>
          <cell r="E5" t="str">
            <v>NF5.226.2.262.128.06.15</v>
          </cell>
        </row>
        <row r="6">
          <cell r="A6" t="str">
            <v>NF522620721</v>
          </cell>
          <cell r="B6" t="str">
            <v>PCSC</v>
          </cell>
          <cell r="C6" t="str">
            <v>C.F</v>
          </cell>
          <cell r="D6" t="str">
            <v xml:space="preserve">DIRECTION DENERALE DES FORETS </v>
          </cell>
          <cell r="E6" t="str">
            <v>NF5.226.2.262.128.07.21</v>
          </cell>
        </row>
        <row r="7">
          <cell r="A7" t="str">
            <v>NF522620722</v>
          </cell>
          <cell r="B7" t="str">
            <v>PCSC</v>
          </cell>
          <cell r="C7" t="str">
            <v>C.F</v>
          </cell>
          <cell r="D7" t="str">
            <v xml:space="preserve">DIRECTION DENERALE DES FORETS </v>
          </cell>
          <cell r="E7" t="str">
            <v>NF5.226.2.262.128.07.22</v>
          </cell>
        </row>
        <row r="8">
          <cell r="A8" t="str">
            <v>NF522620723</v>
          </cell>
          <cell r="B8" t="str">
            <v>PCSC</v>
          </cell>
          <cell r="C8" t="str">
            <v>C.F</v>
          </cell>
          <cell r="D8" t="str">
            <v xml:space="preserve">DIRECTION DENERALE DES FORETS </v>
          </cell>
          <cell r="E8" t="str">
            <v>NF5.226.2.262.128.07.23</v>
          </cell>
        </row>
        <row r="9">
          <cell r="A9" t="str">
            <v>NF522620724</v>
          </cell>
          <cell r="B9" t="str">
            <v>PCSC</v>
          </cell>
          <cell r="C9" t="str">
            <v>C.F</v>
          </cell>
          <cell r="D9" t="str">
            <v xml:space="preserve">DIRECTION DENERALE DES FORETS </v>
          </cell>
          <cell r="E9" t="str">
            <v>NF5.226.2.262.128.07.24</v>
          </cell>
        </row>
        <row r="10">
          <cell r="A10" t="str">
            <v>NF522620725</v>
          </cell>
          <cell r="B10" t="str">
            <v>PCSC</v>
          </cell>
          <cell r="C10" t="str">
            <v>C.F</v>
          </cell>
          <cell r="D10" t="str">
            <v xml:space="preserve">DIRECTION DENERALE DES FORETS </v>
          </cell>
          <cell r="E10" t="str">
            <v>NF5.226.2.262.128.07.25</v>
          </cell>
        </row>
        <row r="11">
          <cell r="A11" t="str">
            <v>NF522620726</v>
          </cell>
          <cell r="B11" t="str">
            <v>PCSC</v>
          </cell>
          <cell r="C11" t="str">
            <v>C.F</v>
          </cell>
          <cell r="D11" t="str">
            <v xml:space="preserve">DIRECTION DENERALE DES FORETS </v>
          </cell>
          <cell r="E11" t="str">
            <v>NF5.226.2.262.128.07.26</v>
          </cell>
        </row>
        <row r="12">
          <cell r="A12" t="str">
            <v>NF522620727</v>
          </cell>
          <cell r="B12" t="str">
            <v>PCSC</v>
          </cell>
          <cell r="C12" t="str">
            <v>C.F</v>
          </cell>
          <cell r="D12" t="str">
            <v xml:space="preserve">DIRECTION DENERALE DES FORETS </v>
          </cell>
          <cell r="E12" t="str">
            <v>NF5.226.2.262.128.07.27</v>
          </cell>
        </row>
        <row r="13">
          <cell r="A13" t="str">
            <v>NF522620728</v>
          </cell>
          <cell r="B13" t="str">
            <v>PCSC</v>
          </cell>
          <cell r="C13" t="str">
            <v>C.F</v>
          </cell>
          <cell r="D13" t="str">
            <v xml:space="preserve">DIRECTION DENERALE DES FORETS </v>
          </cell>
          <cell r="E13" t="str">
            <v>NF5.226.2.262.128.07.28</v>
          </cell>
        </row>
        <row r="14">
          <cell r="A14" t="str">
            <v>NF522620729</v>
          </cell>
          <cell r="B14" t="str">
            <v>PCSC</v>
          </cell>
          <cell r="C14" t="str">
            <v>C.F</v>
          </cell>
          <cell r="D14" t="str">
            <v xml:space="preserve">DIRECTION DENERALE DES FORETS </v>
          </cell>
          <cell r="E14" t="str">
            <v>NF5.226.2.262.128.07.29</v>
          </cell>
        </row>
        <row r="15">
          <cell r="A15" t="str">
            <v>NF522620730</v>
          </cell>
          <cell r="B15" t="str">
            <v>PCSC</v>
          </cell>
          <cell r="C15" t="str">
            <v>C.F</v>
          </cell>
          <cell r="D15" t="str">
            <v xml:space="preserve">DIRECTION DENERALE DES FORETS </v>
          </cell>
          <cell r="E15" t="str">
            <v>NF5.226.2.262.128.07.30</v>
          </cell>
        </row>
        <row r="16">
          <cell r="A16" t="str">
            <v>NF522620820</v>
          </cell>
          <cell r="B16" t="str">
            <v>PCSC</v>
          </cell>
          <cell r="C16" t="str">
            <v>C.F</v>
          </cell>
          <cell r="D16" t="str">
            <v xml:space="preserve">DIRECTION DENERALE DES FORETS </v>
          </cell>
          <cell r="E16" t="str">
            <v>NF5.226.2.262.128.08.20</v>
          </cell>
        </row>
        <row r="17">
          <cell r="A17" t="str">
            <v>NF522620901</v>
          </cell>
          <cell r="B17" t="str">
            <v>PCSC</v>
          </cell>
          <cell r="C17" t="str">
            <v>C.F</v>
          </cell>
          <cell r="D17" t="str">
            <v xml:space="preserve">DIRECTION DENERALE DES FORETS </v>
          </cell>
          <cell r="E17" t="str">
            <v>NF5.226.2.262.128.09.01</v>
          </cell>
        </row>
        <row r="18">
          <cell r="A18" t="str">
            <v>NF522680703</v>
          </cell>
          <cell r="B18" t="str">
            <v>PCSC</v>
          </cell>
          <cell r="C18" t="str">
            <v>C.F</v>
          </cell>
          <cell r="D18" t="str">
            <v xml:space="preserve">DIRECTION DENERALE DES FORETS </v>
          </cell>
          <cell r="E18" t="str">
            <v>NF5.226.8.262.128.07.03</v>
          </cell>
        </row>
        <row r="19">
          <cell r="A19" t="str">
            <v>NF522720505</v>
          </cell>
          <cell r="B19" t="str">
            <v>PCSC</v>
          </cell>
          <cell r="C19" t="str">
            <v>C.F</v>
          </cell>
          <cell r="D19" t="str">
            <v xml:space="preserve">DIRECTION DENERALE DES FORETS </v>
          </cell>
          <cell r="E19" t="str">
            <v>NF5.227.2.262.128.05.05</v>
          </cell>
        </row>
        <row r="20">
          <cell r="A20" t="str">
            <v>NF522720606</v>
          </cell>
          <cell r="B20" t="str">
            <v>PCSC</v>
          </cell>
          <cell r="C20" t="str">
            <v>C.F</v>
          </cell>
          <cell r="D20" t="str">
            <v xml:space="preserve">DIRECTION DENERALE DES FORETS </v>
          </cell>
          <cell r="E20" t="str">
            <v>NF5.227.2.262.128.06.06</v>
          </cell>
        </row>
        <row r="21">
          <cell r="A21" t="str">
            <v>NF522720607</v>
          </cell>
          <cell r="B21" t="str">
            <v>PCSC</v>
          </cell>
          <cell r="C21" t="str">
            <v>C.F</v>
          </cell>
          <cell r="D21" t="str">
            <v xml:space="preserve">DIRECTION DENERALE DES FORETS </v>
          </cell>
          <cell r="E21" t="str">
            <v>NF5.227.2.262.128.06.07</v>
          </cell>
        </row>
        <row r="22">
          <cell r="A22" t="str">
            <v>NF522720810</v>
          </cell>
          <cell r="B22" t="str">
            <v>PCSC</v>
          </cell>
          <cell r="C22" t="str">
            <v>C.F</v>
          </cell>
          <cell r="D22" t="str">
            <v xml:space="preserve">DIRECTION DENERALE DES FORETS </v>
          </cell>
          <cell r="E22" t="str">
            <v>NF5.227.2.262.128.08.10</v>
          </cell>
        </row>
        <row r="23">
          <cell r="A23" t="str">
            <v>NF522720912</v>
          </cell>
          <cell r="B23" t="str">
            <v>PCSC</v>
          </cell>
          <cell r="C23" t="str">
            <v>C.F</v>
          </cell>
          <cell r="D23" t="str">
            <v xml:space="preserve">DIRECTION DENERALE DES FORETS </v>
          </cell>
          <cell r="E23" t="str">
            <v>NF5.227.2.262.128.09.12</v>
          </cell>
        </row>
        <row r="24">
          <cell r="A24" t="str">
            <v>NF522730704</v>
          </cell>
          <cell r="B24" t="str">
            <v>PCSC</v>
          </cell>
          <cell r="C24" t="str">
            <v>C.F</v>
          </cell>
          <cell r="D24" t="str">
            <v xml:space="preserve">DIRECTION DENERALE DES FORETS </v>
          </cell>
          <cell r="E24" t="str">
            <v>NF5.227.3.262.128.07.04</v>
          </cell>
        </row>
        <row r="25">
          <cell r="A25" t="str">
            <v>NF522740706</v>
          </cell>
          <cell r="B25" t="str">
            <v>PCSC</v>
          </cell>
          <cell r="C25" t="str">
            <v>C.F</v>
          </cell>
          <cell r="D25" t="str">
            <v xml:space="preserve">DIRECTION DENERALE DES FORETS </v>
          </cell>
          <cell r="E25" t="str">
            <v>NF5.227.4.262.128.07.06</v>
          </cell>
        </row>
        <row r="26">
          <cell r="A26" t="str">
            <v>NF522750601</v>
          </cell>
          <cell r="B26" t="str">
            <v>PCSC</v>
          </cell>
          <cell r="C26" t="str">
            <v>C.F</v>
          </cell>
          <cell r="D26" t="str">
            <v xml:space="preserve">DIRECTION DENERALE DES FORETS </v>
          </cell>
          <cell r="E26" t="str">
            <v>NF5.227.5.262.128.06.01</v>
          </cell>
        </row>
        <row r="27">
          <cell r="A27" t="str">
            <v>NF522750602</v>
          </cell>
          <cell r="B27" t="str">
            <v>PCSC</v>
          </cell>
          <cell r="C27" t="str">
            <v>C.F</v>
          </cell>
          <cell r="D27" t="str">
            <v xml:space="preserve">DIRECTION DENERALE DES FORETS </v>
          </cell>
          <cell r="E27" t="str">
            <v>NF5.227.5.262.128.06.02</v>
          </cell>
        </row>
        <row r="28">
          <cell r="A28" t="str">
            <v>NF522750803</v>
          </cell>
          <cell r="B28" t="str">
            <v>PCSC</v>
          </cell>
          <cell r="C28" t="str">
            <v>C.F</v>
          </cell>
          <cell r="D28" t="str">
            <v xml:space="preserve">DIRECTION DENERALE DES FORETS </v>
          </cell>
          <cell r="E28" t="str">
            <v>NF5.227.5.262.128.08.03</v>
          </cell>
        </row>
        <row r="29">
          <cell r="A29" t="str">
            <v>NF522780506</v>
          </cell>
          <cell r="B29" t="str">
            <v>PCSC</v>
          </cell>
          <cell r="C29" t="str">
            <v>C.F</v>
          </cell>
          <cell r="D29" t="str">
            <v xml:space="preserve">DIRECTION DENERALE DES FORETS </v>
          </cell>
          <cell r="E29" t="str">
            <v>NF5.227.8.262.128.05.06</v>
          </cell>
        </row>
        <row r="30">
          <cell r="A30" t="str">
            <v>NF522780708</v>
          </cell>
          <cell r="B30" t="str">
            <v>PCSC</v>
          </cell>
          <cell r="C30" t="str">
            <v>C.F</v>
          </cell>
          <cell r="D30" t="str">
            <v xml:space="preserve">DIRECTION DENERALE DES FORETS </v>
          </cell>
          <cell r="E30" t="str">
            <v>NF5.227.8.262.128.07.08</v>
          </cell>
        </row>
        <row r="31">
          <cell r="A31" t="str">
            <v>NF522780712</v>
          </cell>
          <cell r="B31" t="str">
            <v>PCSC</v>
          </cell>
          <cell r="C31" t="str">
            <v>C.F</v>
          </cell>
          <cell r="D31" t="str">
            <v xml:space="preserve">DIRECTION DENERALE DES FORETS </v>
          </cell>
          <cell r="E31" t="str">
            <v>NF5.227.8.262.128.07.12</v>
          </cell>
        </row>
        <row r="32">
          <cell r="A32" t="str">
            <v>NF522780713</v>
          </cell>
          <cell r="B32" t="str">
            <v>PCSC</v>
          </cell>
          <cell r="C32" t="str">
            <v>C.F</v>
          </cell>
          <cell r="D32" t="str">
            <v xml:space="preserve">DIRECTION DENERALE DES FORETS </v>
          </cell>
          <cell r="E32" t="str">
            <v>NF5.227.8.262.128.07.13</v>
          </cell>
        </row>
        <row r="33">
          <cell r="A33" t="str">
            <v>NF522780714</v>
          </cell>
          <cell r="B33" t="str">
            <v>PCSC</v>
          </cell>
          <cell r="C33" t="str">
            <v>C.F</v>
          </cell>
          <cell r="D33" t="str">
            <v xml:space="preserve">DIRECTION DENERALE DES FORETS </v>
          </cell>
          <cell r="E33" t="str">
            <v>NF5.227.8.262.128.07.14</v>
          </cell>
        </row>
        <row r="34">
          <cell r="A34" t="str">
            <v>NF522780725</v>
          </cell>
          <cell r="B34" t="str">
            <v>PCSC</v>
          </cell>
          <cell r="C34" t="str">
            <v>C.F</v>
          </cell>
          <cell r="D34" t="str">
            <v xml:space="preserve">DIRECTION DENERALE DES FORETS </v>
          </cell>
          <cell r="E34" t="str">
            <v>NF5.227.8.262.128.07.25</v>
          </cell>
        </row>
        <row r="35">
          <cell r="A35" t="str">
            <v>NF522780809</v>
          </cell>
          <cell r="B35" t="str">
            <v>PCSC</v>
          </cell>
          <cell r="C35" t="str">
            <v>C.F</v>
          </cell>
          <cell r="D35" t="str">
            <v xml:space="preserve">DIRECTION DENERALE DES FORETS </v>
          </cell>
          <cell r="E35" t="str">
            <v>NF5.227.8.262.128.08.09</v>
          </cell>
        </row>
        <row r="36">
          <cell r="A36" t="str">
            <v>NF522780810</v>
          </cell>
          <cell r="B36" t="str">
            <v>PCSC</v>
          </cell>
          <cell r="C36" t="str">
            <v>C.F</v>
          </cell>
          <cell r="D36" t="str">
            <v xml:space="preserve">DIRECTION DENERALE DES FORETS </v>
          </cell>
          <cell r="E36" t="str">
            <v>NF5.227.8.262.128.08.10</v>
          </cell>
        </row>
        <row r="37">
          <cell r="A37" t="str">
            <v>NF522780811</v>
          </cell>
          <cell r="B37" t="str">
            <v>PCSC</v>
          </cell>
          <cell r="C37" t="str">
            <v>C.F</v>
          </cell>
          <cell r="D37" t="str">
            <v xml:space="preserve">DIRECTION DENERALE DES FORETS </v>
          </cell>
          <cell r="E37" t="str">
            <v>NF5.227.8.262.128.08.11</v>
          </cell>
        </row>
        <row r="38">
          <cell r="A38" t="str">
            <v>NF522780915</v>
          </cell>
          <cell r="B38" t="str">
            <v>PCSC</v>
          </cell>
          <cell r="C38" t="str">
            <v>C.F</v>
          </cell>
          <cell r="D38" t="str">
            <v xml:space="preserve">DIRECTION DENERALE DES FORETS </v>
          </cell>
          <cell r="E38" t="str">
            <v>NF5.227.8.262.128.09.15</v>
          </cell>
        </row>
        <row r="39">
          <cell r="A39" t="str">
            <v>NF532220522</v>
          </cell>
          <cell r="B39" t="str">
            <v>PCSC</v>
          </cell>
          <cell r="C39" t="str">
            <v>DRE</v>
          </cell>
          <cell r="D39" t="str">
            <v xml:space="preserve">MINISTERE DES RESOURCES EN EAU </v>
          </cell>
          <cell r="E39" t="str">
            <v>NF5.322.2.262.128.05.22</v>
          </cell>
        </row>
        <row r="40">
          <cell r="A40" t="str">
            <v>NF532220623</v>
          </cell>
          <cell r="B40" t="str">
            <v>PCSC</v>
          </cell>
          <cell r="C40" t="str">
            <v>DRE</v>
          </cell>
          <cell r="D40" t="str">
            <v xml:space="preserve">MINISTERE DES RESOURCES EN EAU </v>
          </cell>
          <cell r="E40" t="str">
            <v>NF5.322.2.262.128.06.23</v>
          </cell>
        </row>
        <row r="41">
          <cell r="A41" t="str">
            <v>NF532220624</v>
          </cell>
          <cell r="B41" t="str">
            <v>PCSC</v>
          </cell>
          <cell r="C41" t="str">
            <v>DRE</v>
          </cell>
          <cell r="D41" t="str">
            <v xml:space="preserve">MINISTERE DES RESOURCES EN EAU </v>
          </cell>
          <cell r="E41" t="str">
            <v>NF5.322.2.262.128.06.24</v>
          </cell>
        </row>
        <row r="42">
          <cell r="A42" t="str">
            <v>NF532220625</v>
          </cell>
          <cell r="B42" t="str">
            <v>PCSC</v>
          </cell>
          <cell r="C42" t="str">
            <v>DRE</v>
          </cell>
          <cell r="D42" t="str">
            <v xml:space="preserve">MINISTERE DES RESOURCES EN EAU </v>
          </cell>
          <cell r="E42" t="str">
            <v>NF5.322.2.262.128.06.25</v>
          </cell>
        </row>
        <row r="43">
          <cell r="A43" t="str">
            <v>NF532220626</v>
          </cell>
          <cell r="B43" t="str">
            <v>PCSC</v>
          </cell>
          <cell r="C43" t="str">
            <v>DRE</v>
          </cell>
          <cell r="D43" t="str">
            <v xml:space="preserve">MINISTERE DES RESOURCES EN EAU </v>
          </cell>
          <cell r="E43" t="str">
            <v>NF5.322.2.262.128.06.26</v>
          </cell>
        </row>
        <row r="44">
          <cell r="A44" t="str">
            <v>NF532220728</v>
          </cell>
          <cell r="B44" t="str">
            <v>PCSC</v>
          </cell>
          <cell r="C44" t="str">
            <v>DRE</v>
          </cell>
          <cell r="D44" t="str">
            <v xml:space="preserve">MINISTERE DES RESOURCES EN EAU </v>
          </cell>
          <cell r="E44" t="str">
            <v>NF5.322.2.262.128.07.28</v>
          </cell>
        </row>
        <row r="45">
          <cell r="A45" t="str">
            <v>NF532230606</v>
          </cell>
          <cell r="B45" t="str">
            <v>PCSC</v>
          </cell>
          <cell r="C45" t="str">
            <v>DRE</v>
          </cell>
          <cell r="D45" t="str">
            <v xml:space="preserve">MINISTERE DES RESOURCES EN EAU </v>
          </cell>
          <cell r="E45" t="str">
            <v>NF5.322.3.262.128.06.06</v>
          </cell>
        </row>
        <row r="46">
          <cell r="A46" t="str">
            <v>NF532280603</v>
          </cell>
          <cell r="B46" t="str">
            <v>PCSC</v>
          </cell>
          <cell r="C46" t="str">
            <v>DRE</v>
          </cell>
          <cell r="D46" t="str">
            <v xml:space="preserve">MINISTERE DES RESOURCES EN EAU </v>
          </cell>
          <cell r="E46" t="str">
            <v>NF5.322.8.262.128.06.03</v>
          </cell>
        </row>
        <row r="47">
          <cell r="A47" t="str">
            <v>NF532280704</v>
          </cell>
          <cell r="B47" t="str">
            <v>PCSC</v>
          </cell>
          <cell r="C47" t="str">
            <v>DRE</v>
          </cell>
          <cell r="D47" t="str">
            <v xml:space="preserve">MINISTERE DES RESOURCES EN EAU </v>
          </cell>
          <cell r="E47" t="str">
            <v>NF5.322.8.262.128.07.04</v>
          </cell>
        </row>
        <row r="48">
          <cell r="A48" t="str">
            <v>NF532280705</v>
          </cell>
          <cell r="B48" t="str">
            <v>PCSC</v>
          </cell>
          <cell r="C48" t="str">
            <v>DRE</v>
          </cell>
          <cell r="D48" t="str">
            <v xml:space="preserve">MINISTERE DES RESOURCES EN EAU </v>
          </cell>
          <cell r="E48" t="str">
            <v>NF5.322.8.262.128.07.05</v>
          </cell>
        </row>
        <row r="49">
          <cell r="A49" t="str">
            <v>NF532360603</v>
          </cell>
          <cell r="B49" t="str">
            <v>PCSC</v>
          </cell>
          <cell r="C49" t="str">
            <v>DRE</v>
          </cell>
          <cell r="D49" t="str">
            <v xml:space="preserve">MINISTERE DES RESOURCES EN EAU </v>
          </cell>
          <cell r="E49" t="str">
            <v>NF5.323.6.262.128.06.03</v>
          </cell>
        </row>
        <row r="50">
          <cell r="A50" t="str">
            <v>NF532360704</v>
          </cell>
          <cell r="B50" t="str">
            <v>PCSC</v>
          </cell>
          <cell r="C50" t="str">
            <v>DRE</v>
          </cell>
          <cell r="D50" t="str">
            <v xml:space="preserve">MINISTERE DES RESOURCES EN EAU </v>
          </cell>
          <cell r="E50" t="str">
            <v>NF5.323.6.262.128.07.04</v>
          </cell>
        </row>
        <row r="51">
          <cell r="A51" t="str">
            <v>NF532360705</v>
          </cell>
          <cell r="B51" t="str">
            <v>PCSC</v>
          </cell>
          <cell r="C51" t="str">
            <v>DRE</v>
          </cell>
          <cell r="D51" t="str">
            <v xml:space="preserve">MINISTERE DES RESOURCES EN EAU </v>
          </cell>
          <cell r="E51" t="str">
            <v>NF5.323.6.262.128.07.05</v>
          </cell>
        </row>
        <row r="52">
          <cell r="A52" t="str">
            <v>NF533320603</v>
          </cell>
          <cell r="B52" t="str">
            <v>PCSC</v>
          </cell>
          <cell r="C52" t="str">
            <v>DRE</v>
          </cell>
          <cell r="D52" t="str">
            <v xml:space="preserve">MINISTERE DES RESOURCES EN EAU </v>
          </cell>
          <cell r="E52" t="str">
            <v>NF5.333.2.262.128.06.03</v>
          </cell>
        </row>
        <row r="53">
          <cell r="A53" t="str">
            <v>NF533320708</v>
          </cell>
          <cell r="B53" t="str">
            <v>PCSC</v>
          </cell>
          <cell r="C53" t="str">
            <v>DRE</v>
          </cell>
          <cell r="D53" t="str">
            <v xml:space="preserve">MINISTERE DES RESOURCES EN EAU </v>
          </cell>
          <cell r="E53" t="str">
            <v>NF5.333.2.262.128.07.08</v>
          </cell>
        </row>
        <row r="54">
          <cell r="A54" t="str">
            <v>NF533320709</v>
          </cell>
          <cell r="B54" t="str">
            <v>PCSC</v>
          </cell>
          <cell r="C54" t="str">
            <v>DRE</v>
          </cell>
          <cell r="D54" t="str">
            <v xml:space="preserve">MINISTERE DES RESOURCES EN EAU </v>
          </cell>
          <cell r="E54" t="str">
            <v>NF5.333.2.262.128.07.09</v>
          </cell>
        </row>
        <row r="55">
          <cell r="A55" t="str">
            <v>NF534120514</v>
          </cell>
          <cell r="B55" t="str">
            <v>PCSC</v>
          </cell>
          <cell r="C55" t="str">
            <v>DRE</v>
          </cell>
          <cell r="D55" t="str">
            <v xml:space="preserve">MINISTERE DES RESOURCES EN EAU </v>
          </cell>
          <cell r="E55" t="str">
            <v>NF5.341.2.262.128.05.14</v>
          </cell>
        </row>
        <row r="56">
          <cell r="A56" t="str">
            <v>NF534120515</v>
          </cell>
          <cell r="B56" t="str">
            <v>PCSC</v>
          </cell>
          <cell r="C56" t="str">
            <v>DRE</v>
          </cell>
          <cell r="D56" t="str">
            <v xml:space="preserve">MINISTERE DES RESOURCES EN EAU </v>
          </cell>
          <cell r="E56" t="str">
            <v>NF5.341.2.262.128.05.15</v>
          </cell>
        </row>
        <row r="57">
          <cell r="A57" t="str">
            <v>NF534120616</v>
          </cell>
          <cell r="B57" t="str">
            <v>PCSC</v>
          </cell>
          <cell r="C57" t="str">
            <v>DRE</v>
          </cell>
          <cell r="D57" t="str">
            <v xml:space="preserve">MINISTERE DES RESOURCES EN EAU </v>
          </cell>
          <cell r="E57" t="str">
            <v>NF5.341.2.262.128.06.16</v>
          </cell>
        </row>
        <row r="58">
          <cell r="A58" t="str">
            <v>NF534120619</v>
          </cell>
          <cell r="B58" t="str">
            <v>PCSC</v>
          </cell>
          <cell r="C58" t="str">
            <v>DRE</v>
          </cell>
          <cell r="D58" t="str">
            <v xml:space="preserve">MINISTERE DES RESOURCES EN EAU </v>
          </cell>
          <cell r="E58" t="str">
            <v>NF5.341.2.262.128.06.19</v>
          </cell>
        </row>
        <row r="59">
          <cell r="A59" t="str">
            <v>NF534180602</v>
          </cell>
          <cell r="B59" t="str">
            <v>PCSC</v>
          </cell>
          <cell r="C59" t="str">
            <v>DRE</v>
          </cell>
          <cell r="D59" t="str">
            <v xml:space="preserve">MINISTERE DES RESOURCES EN EAU </v>
          </cell>
          <cell r="E59" t="str">
            <v>NF5.341.8.262.128.06.02</v>
          </cell>
        </row>
        <row r="60">
          <cell r="A60" t="str">
            <v>NF534220617</v>
          </cell>
          <cell r="B60" t="str">
            <v>PCSC</v>
          </cell>
          <cell r="C60" t="str">
            <v>DRE</v>
          </cell>
          <cell r="D60" t="str">
            <v xml:space="preserve">MINISTERE DES RESOURCES EN EAU </v>
          </cell>
          <cell r="E60" t="str">
            <v>NF5.342.2.262.128.06.17</v>
          </cell>
        </row>
        <row r="61">
          <cell r="A61" t="str">
            <v>NF534220620</v>
          </cell>
          <cell r="B61" t="str">
            <v>PCSC</v>
          </cell>
          <cell r="C61" t="str">
            <v>DRE</v>
          </cell>
          <cell r="D61" t="str">
            <v xml:space="preserve">MINISTERE DES RESOURCES EN EAU </v>
          </cell>
          <cell r="E61" t="str">
            <v>NF5.342.2.262.128.06.20</v>
          </cell>
        </row>
        <row r="62">
          <cell r="A62" t="str">
            <v>NF534220719</v>
          </cell>
          <cell r="B62" t="str">
            <v>PCSC</v>
          </cell>
          <cell r="C62" t="str">
            <v>DRE</v>
          </cell>
          <cell r="D62" t="str">
            <v xml:space="preserve">MINISTERE DES RESOURCES EN EAU </v>
          </cell>
          <cell r="E62" t="str">
            <v>NF5.342.2.262.128.07.19</v>
          </cell>
        </row>
        <row r="63">
          <cell r="A63" t="str">
            <v>NF534220721</v>
          </cell>
          <cell r="B63" t="str">
            <v>PCSC</v>
          </cell>
          <cell r="C63" t="str">
            <v>DRE</v>
          </cell>
          <cell r="D63" t="str">
            <v xml:space="preserve">MINISTERE DES RESOURCES EN EAU </v>
          </cell>
          <cell r="E63" t="str">
            <v>NF5.342.2.262.128.07.21</v>
          </cell>
        </row>
        <row r="64">
          <cell r="A64" t="str">
            <v>NF534230601</v>
          </cell>
          <cell r="B64" t="str">
            <v>PCSC</v>
          </cell>
          <cell r="C64" t="str">
            <v>DRE</v>
          </cell>
          <cell r="D64" t="str">
            <v xml:space="preserve">MINISTERE DES RESOURCES EN EAU </v>
          </cell>
          <cell r="E64" t="str">
            <v>NF5.342.3.262.128.06.01</v>
          </cell>
        </row>
        <row r="65">
          <cell r="A65" t="str">
            <v>NF534230802</v>
          </cell>
          <cell r="B65" t="str">
            <v>PCSC</v>
          </cell>
          <cell r="C65" t="str">
            <v>DRE</v>
          </cell>
          <cell r="D65" t="str">
            <v xml:space="preserve">MINISTERE DES RESOURCES EN EAU </v>
          </cell>
          <cell r="E65" t="str">
            <v>NF5.342.3.262.128.08.02</v>
          </cell>
        </row>
        <row r="66">
          <cell r="A66" t="str">
            <v>NF534240601</v>
          </cell>
          <cell r="B66" t="str">
            <v>PCSC</v>
          </cell>
          <cell r="C66" t="str">
            <v>DRE</v>
          </cell>
          <cell r="D66" t="str">
            <v xml:space="preserve">MINISTERE DES RESOURCES EN EAU </v>
          </cell>
          <cell r="E66" t="str">
            <v>NF5.342.4.262.128.06.01</v>
          </cell>
        </row>
        <row r="67">
          <cell r="A67" t="str">
            <v>NF534260713</v>
          </cell>
          <cell r="B67" t="str">
            <v>PCSC</v>
          </cell>
          <cell r="C67" t="str">
            <v>DRE</v>
          </cell>
          <cell r="D67" t="str">
            <v xml:space="preserve">MINISTERE DES RESOURCES EN EAU </v>
          </cell>
          <cell r="E67" t="str">
            <v>NF5.342.6.262.128.07.13</v>
          </cell>
        </row>
        <row r="68">
          <cell r="A68" t="str">
            <v>NF534260714</v>
          </cell>
          <cell r="B68" t="str">
            <v>PCSC</v>
          </cell>
          <cell r="C68" t="str">
            <v>DRE</v>
          </cell>
          <cell r="D68" t="str">
            <v xml:space="preserve">MINISTERE DES RESOURCES EN EAU </v>
          </cell>
          <cell r="E68" t="str">
            <v>NF5.342.6.262.128.07.14</v>
          </cell>
        </row>
        <row r="69">
          <cell r="A69" t="str">
            <v>NF534260715</v>
          </cell>
          <cell r="B69" t="str">
            <v>PCSC</v>
          </cell>
          <cell r="C69" t="str">
            <v>DRE</v>
          </cell>
          <cell r="D69" t="str">
            <v xml:space="preserve">MINISTERE DES RESOURCES EN EAU </v>
          </cell>
          <cell r="E69" t="str">
            <v>NF5.342.6.262.128.07.15</v>
          </cell>
        </row>
        <row r="70">
          <cell r="A70" t="str">
            <v>NF534270702</v>
          </cell>
          <cell r="B70" t="str">
            <v>PCSC</v>
          </cell>
          <cell r="C70" t="str">
            <v>DRE</v>
          </cell>
          <cell r="D70" t="str">
            <v xml:space="preserve">MINISTERE DES RESOURCES EN EAU </v>
          </cell>
          <cell r="E70" t="str">
            <v>NF5.342.7.262.128.07.02</v>
          </cell>
        </row>
        <row r="71">
          <cell r="A71" t="str">
            <v>NF535220603</v>
          </cell>
          <cell r="B71" t="str">
            <v>PCSC</v>
          </cell>
          <cell r="C71" t="str">
            <v>D ENVI</v>
          </cell>
          <cell r="D71" t="str">
            <v xml:space="preserve">MINISTERE DE L'ENVIRONNOMENT </v>
          </cell>
          <cell r="E71" t="str">
            <v>NF5.352.2.262.128.06.03</v>
          </cell>
        </row>
        <row r="72">
          <cell r="A72" t="str">
            <v>NF535290707</v>
          </cell>
          <cell r="B72" t="str">
            <v>PCSC</v>
          </cell>
          <cell r="C72" t="str">
            <v>D ENVI</v>
          </cell>
          <cell r="D72" t="str">
            <v xml:space="preserve">MINISTERE DE L'ENVIRONNOMENT </v>
          </cell>
          <cell r="E72" t="str">
            <v>NF5.352.9.262.128.07.07</v>
          </cell>
        </row>
        <row r="73">
          <cell r="A73" t="str">
            <v>NF546180701</v>
          </cell>
          <cell r="B73" t="str">
            <v>PCSC</v>
          </cell>
          <cell r="C73" t="str">
            <v>D COMM</v>
          </cell>
          <cell r="D73" t="str">
            <v xml:space="preserve">MINISTERE DU COMMERCE </v>
          </cell>
          <cell r="E73" t="str">
            <v>NF5.461.8.262.128.07.01</v>
          </cell>
        </row>
        <row r="74">
          <cell r="A74" t="str">
            <v>NF546180702</v>
          </cell>
          <cell r="B74" t="str">
            <v>PCSC</v>
          </cell>
          <cell r="C74" t="str">
            <v>D COMM</v>
          </cell>
          <cell r="D74" t="str">
            <v xml:space="preserve">MINISTERE DU COMMERCE </v>
          </cell>
          <cell r="E74" t="str">
            <v>NF5.461.8.262.128.07.02</v>
          </cell>
        </row>
        <row r="75">
          <cell r="A75" t="str">
            <v>NF551220501</v>
          </cell>
          <cell r="B75" t="str">
            <v>PCSC</v>
          </cell>
          <cell r="C75" t="str">
            <v>DT</v>
          </cell>
          <cell r="D75" t="str">
            <v>MINISTERE DES TRAVAUX PUBLIC</v>
          </cell>
          <cell r="E75" t="str">
            <v>NF5.512.2.262.128.05.01</v>
          </cell>
        </row>
        <row r="76">
          <cell r="A76" t="str">
            <v>NF552110508</v>
          </cell>
          <cell r="B76" t="str">
            <v>PCSC</v>
          </cell>
          <cell r="C76" t="str">
            <v xml:space="preserve">DTP </v>
          </cell>
          <cell r="D76" t="str">
            <v>MINISTERE DES TRAVAUX PUBLIC</v>
          </cell>
          <cell r="E76" t="str">
            <v>NF5.521.1.262.128.05.08</v>
          </cell>
        </row>
        <row r="77">
          <cell r="A77" t="str">
            <v>NF552120503</v>
          </cell>
          <cell r="B77" t="str">
            <v>PCSC</v>
          </cell>
          <cell r="C77" t="str">
            <v xml:space="preserve">DTP </v>
          </cell>
          <cell r="D77" t="str">
            <v>MINISTERE DES TRAVAUX PUBLIC</v>
          </cell>
          <cell r="E77" t="str">
            <v>NF5.521.2.262.128.05.03</v>
          </cell>
        </row>
        <row r="78">
          <cell r="A78" t="str">
            <v>NF552120504</v>
          </cell>
          <cell r="B78" t="str">
            <v>PCSC</v>
          </cell>
          <cell r="C78" t="str">
            <v xml:space="preserve">DTP </v>
          </cell>
          <cell r="D78" t="str">
            <v>MINISTERE DES TRAVAUX PUBLIC</v>
          </cell>
          <cell r="E78" t="str">
            <v>NF5.521.2.262.128.05.04</v>
          </cell>
        </row>
        <row r="79">
          <cell r="A79" t="str">
            <v>NF552120605</v>
          </cell>
          <cell r="B79" t="str">
            <v>PCSC</v>
          </cell>
          <cell r="C79" t="str">
            <v xml:space="preserve">DTP </v>
          </cell>
          <cell r="D79" t="str">
            <v>MINISTERE DES TRAVAUX PUBLIC</v>
          </cell>
          <cell r="E79" t="str">
            <v>NF5.521.2.262.128.06.05</v>
          </cell>
        </row>
        <row r="80">
          <cell r="A80" t="str">
            <v>NF552150509</v>
          </cell>
          <cell r="B80" t="str">
            <v>PCSC</v>
          </cell>
          <cell r="C80" t="str">
            <v xml:space="preserve">DTP </v>
          </cell>
          <cell r="D80" t="str">
            <v>MINISTERE DES TRAVAUX PUBLIC</v>
          </cell>
          <cell r="E80" t="str">
            <v>NF5.521.5.262.128.05.09</v>
          </cell>
        </row>
        <row r="81">
          <cell r="A81" t="str">
            <v>NF552160604</v>
          </cell>
          <cell r="B81" t="str">
            <v>PCSC</v>
          </cell>
          <cell r="C81" t="str">
            <v xml:space="preserve">DTP </v>
          </cell>
          <cell r="D81" t="str">
            <v>MINISTERE DES TRAVAUX PUBLIC</v>
          </cell>
          <cell r="E81" t="str">
            <v>NF5.521.6.262.128.06.04</v>
          </cell>
        </row>
        <row r="82">
          <cell r="A82" t="str">
            <v>NF552160705</v>
          </cell>
          <cell r="B82" t="str">
            <v>PCSC</v>
          </cell>
          <cell r="C82" t="str">
            <v xml:space="preserve">DTP </v>
          </cell>
          <cell r="D82" t="str">
            <v>MINISTERE DES TRAVAUX PUBLIC</v>
          </cell>
          <cell r="E82" t="str">
            <v>NF5.521.6.262.128.07.05</v>
          </cell>
        </row>
        <row r="83">
          <cell r="A83" t="str">
            <v>NF552160706</v>
          </cell>
          <cell r="B83" t="str">
            <v>PCSC</v>
          </cell>
          <cell r="C83" t="str">
            <v xml:space="preserve">DTP </v>
          </cell>
          <cell r="D83" t="str">
            <v>MINISTERE DES TRAVAUX PUBLIC</v>
          </cell>
          <cell r="E83" t="str">
            <v>NF5.521.6.262.128.07.06</v>
          </cell>
        </row>
        <row r="84">
          <cell r="A84" t="str">
            <v>NF552180509</v>
          </cell>
          <cell r="B84" t="str">
            <v>PCSC</v>
          </cell>
          <cell r="C84" t="str">
            <v xml:space="preserve">DTP </v>
          </cell>
          <cell r="D84" t="str">
            <v>MINISTERE DES TRAVAUX PUBLIC</v>
          </cell>
          <cell r="E84" t="str">
            <v>NF5.521.8.262.128.05.09</v>
          </cell>
        </row>
        <row r="85">
          <cell r="A85" t="str">
            <v>NF552180510</v>
          </cell>
          <cell r="B85" t="str">
            <v>PCSC</v>
          </cell>
          <cell r="C85" t="str">
            <v xml:space="preserve">DTP </v>
          </cell>
          <cell r="D85" t="str">
            <v>MINISTERE DES TRAVAUX PUBLIC</v>
          </cell>
          <cell r="E85" t="str">
            <v>NF5.521.8.262.128.05.10</v>
          </cell>
        </row>
        <row r="86">
          <cell r="A86" t="str">
            <v>NF552180511</v>
          </cell>
          <cell r="B86" t="str">
            <v>PCSC</v>
          </cell>
          <cell r="C86" t="str">
            <v xml:space="preserve">DTP </v>
          </cell>
          <cell r="D86" t="str">
            <v>MINISTERE DES TRAVAUX PUBLIC</v>
          </cell>
          <cell r="E86" t="str">
            <v>NF5.521.8.262.128.05.11</v>
          </cell>
        </row>
        <row r="87">
          <cell r="A87" t="str">
            <v>NF552180612</v>
          </cell>
          <cell r="B87" t="str">
            <v>PCSC</v>
          </cell>
          <cell r="C87" t="str">
            <v xml:space="preserve">DTP </v>
          </cell>
          <cell r="D87" t="str">
            <v>MINISTERE DES TRAVAUX PUBLIC</v>
          </cell>
          <cell r="E87" t="str">
            <v>NF5.521.8.262.128.06.12</v>
          </cell>
        </row>
        <row r="88">
          <cell r="A88" t="str">
            <v>NF552260607</v>
          </cell>
          <cell r="B88" t="str">
            <v>PCSC</v>
          </cell>
          <cell r="C88" t="str">
            <v xml:space="preserve">DTP </v>
          </cell>
          <cell r="D88" t="str">
            <v>MINISTERE DES TRAVAUX PUBLIC</v>
          </cell>
          <cell r="E88" t="str">
            <v>NF5.522.6.262.128.06.07</v>
          </cell>
        </row>
        <row r="89">
          <cell r="A89" t="str">
            <v>NF552260708</v>
          </cell>
          <cell r="B89" t="str">
            <v>PCSC</v>
          </cell>
          <cell r="C89" t="str">
            <v xml:space="preserve">DTP </v>
          </cell>
          <cell r="D89" t="str">
            <v>MINISTERE DES TRAVAUX PUBLIC</v>
          </cell>
          <cell r="E89" t="str">
            <v>NF5.522.6.262.128.07.08</v>
          </cell>
        </row>
        <row r="90">
          <cell r="A90" t="str">
            <v>NF552260709</v>
          </cell>
          <cell r="B90" t="str">
            <v>PCSC</v>
          </cell>
          <cell r="C90" t="str">
            <v xml:space="preserve">DTP </v>
          </cell>
          <cell r="D90" t="str">
            <v>MINISTERE DES TRAVAUX PUBLIC</v>
          </cell>
          <cell r="E90" t="str">
            <v>NF5.522.6.262.128.07.09</v>
          </cell>
        </row>
        <row r="91">
          <cell r="A91" t="str">
            <v>NF552280605</v>
          </cell>
          <cell r="B91" t="str">
            <v>PCSC</v>
          </cell>
          <cell r="C91" t="str">
            <v xml:space="preserve">DTP </v>
          </cell>
          <cell r="D91" t="str">
            <v>MINISTERE DES TRAVAUX PUBLIC</v>
          </cell>
          <cell r="E91" t="str">
            <v>NF5.522.8.262.128.06.05</v>
          </cell>
        </row>
        <row r="92">
          <cell r="A92" t="str">
            <v>NF552280606</v>
          </cell>
          <cell r="B92" t="str">
            <v>PCSC</v>
          </cell>
          <cell r="C92" t="str">
            <v xml:space="preserve">DTP </v>
          </cell>
          <cell r="D92" t="str">
            <v>MINISTERE DES TRAVAUX PUBLIC</v>
          </cell>
          <cell r="E92" t="str">
            <v>NF5.522.8.262.128.06.06</v>
          </cell>
        </row>
        <row r="93">
          <cell r="A93" t="str">
            <v>NF552280607</v>
          </cell>
          <cell r="B93" t="str">
            <v>PCSC</v>
          </cell>
          <cell r="C93" t="str">
            <v xml:space="preserve">DTP </v>
          </cell>
          <cell r="D93" t="str">
            <v>MINISTERE DES TRAVAUX PUBLIC</v>
          </cell>
          <cell r="E93" t="str">
            <v>NF5.522.8.262.128.06.07</v>
          </cell>
        </row>
        <row r="94">
          <cell r="A94" t="str">
            <v>NF552280608</v>
          </cell>
          <cell r="B94" t="str">
            <v>PCSC</v>
          </cell>
          <cell r="C94" t="str">
            <v xml:space="preserve">DTP </v>
          </cell>
          <cell r="D94" t="str">
            <v>MINISTERE DES TRAVAUX PUBLIC</v>
          </cell>
          <cell r="E94" t="str">
            <v>NF5.522.8.262.128.06.08</v>
          </cell>
        </row>
        <row r="95">
          <cell r="A95" t="str">
            <v>NF552730501</v>
          </cell>
          <cell r="B95" t="str">
            <v>PCSC</v>
          </cell>
          <cell r="C95" t="str">
            <v xml:space="preserve">DTP </v>
          </cell>
          <cell r="D95" t="str">
            <v>MINISTERE DES TRAVAUX PUBLIC</v>
          </cell>
          <cell r="E95" t="str">
            <v>NF5.527.3.262.128.05.01</v>
          </cell>
        </row>
        <row r="96">
          <cell r="A96" t="str">
            <v>NF553110507</v>
          </cell>
          <cell r="B96" t="str">
            <v>PCSC</v>
          </cell>
          <cell r="C96" t="str">
            <v xml:space="preserve">DTP </v>
          </cell>
          <cell r="D96" t="str">
            <v>MINISTERE DES TRAVAUX PUBLIC</v>
          </cell>
          <cell r="E96" t="str">
            <v>NF5.531.1.262.128.05.07</v>
          </cell>
        </row>
        <row r="97">
          <cell r="A97" t="str">
            <v>NF553410606</v>
          </cell>
          <cell r="B97" t="str">
            <v>PCSC</v>
          </cell>
          <cell r="C97" t="str">
            <v xml:space="preserve">DTP </v>
          </cell>
          <cell r="D97" t="str">
            <v>MINISTERE DES TRAVAUX PUBLIC</v>
          </cell>
          <cell r="E97" t="str">
            <v>NF5.534.1.262.128.06.06</v>
          </cell>
        </row>
        <row r="98">
          <cell r="A98" t="str">
            <v>NF553410807</v>
          </cell>
          <cell r="B98" t="str">
            <v>PCSC</v>
          </cell>
          <cell r="C98" t="str">
            <v xml:space="preserve">DTP </v>
          </cell>
          <cell r="D98" t="str">
            <v>MINISTERE DES TRAVAUX PUBLIC</v>
          </cell>
          <cell r="E98" t="str">
            <v>NF5.534.1.262.128.08.07</v>
          </cell>
        </row>
        <row r="99">
          <cell r="A99" t="str">
            <v>NF553410908</v>
          </cell>
          <cell r="B99" t="str">
            <v>PCSC</v>
          </cell>
          <cell r="C99" t="str">
            <v xml:space="preserve">DTP </v>
          </cell>
          <cell r="D99" t="str">
            <v>MINISTERE DES TRAVAUX PUBLIC</v>
          </cell>
          <cell r="E99" t="str">
            <v>NF5.534.1.262.128.09.08</v>
          </cell>
        </row>
        <row r="100">
          <cell r="A100" t="str">
            <v>NF553510606</v>
          </cell>
          <cell r="B100" t="str">
            <v>PCSC</v>
          </cell>
          <cell r="C100" t="str">
            <v xml:space="preserve">DTP </v>
          </cell>
          <cell r="D100" t="str">
            <v>MINISTERE DES TRAVAUX PUBLIC</v>
          </cell>
          <cell r="E100" t="str">
            <v>NF5.535.1.262.128.06.06</v>
          </cell>
        </row>
        <row r="101">
          <cell r="A101" t="str">
            <v>NF553510607</v>
          </cell>
          <cell r="B101" t="str">
            <v>PCSC</v>
          </cell>
          <cell r="C101" t="str">
            <v xml:space="preserve">DTP </v>
          </cell>
          <cell r="D101" t="str">
            <v>MINISTERE DES TRAVAUX PUBLIC</v>
          </cell>
          <cell r="E101" t="str">
            <v>NF5.535.1.262.128.06.07</v>
          </cell>
        </row>
        <row r="102">
          <cell r="A102" t="str">
            <v>NF553510608</v>
          </cell>
          <cell r="B102" t="str">
            <v>PCSC</v>
          </cell>
          <cell r="C102" t="str">
            <v xml:space="preserve">DTP </v>
          </cell>
          <cell r="D102" t="str">
            <v>MINISTERE DES TRAVAUX PUBLIC</v>
          </cell>
          <cell r="E102" t="str">
            <v>NF5.535.1.262.128.06.08</v>
          </cell>
        </row>
        <row r="103">
          <cell r="A103" t="str">
            <v>NF553510810</v>
          </cell>
          <cell r="B103" t="str">
            <v>PCSC</v>
          </cell>
          <cell r="C103" t="str">
            <v xml:space="preserve">DTP </v>
          </cell>
          <cell r="D103" t="str">
            <v>MINISTERE DES TRAVAUX PUBLIC</v>
          </cell>
          <cell r="E103" t="str">
            <v>NF5.535.1.262.128.08.10</v>
          </cell>
        </row>
        <row r="104">
          <cell r="A104" t="str">
            <v>NF553510911</v>
          </cell>
          <cell r="B104" t="str">
            <v>PCSC</v>
          </cell>
          <cell r="C104" t="str">
            <v xml:space="preserve">DTP </v>
          </cell>
          <cell r="D104" t="str">
            <v>MINISTERE DES TRAVAUX PUBLIC</v>
          </cell>
          <cell r="E104" t="str">
            <v>NF5.535.1.262.128.09.11</v>
          </cell>
        </row>
        <row r="105">
          <cell r="A105" t="str">
            <v>NF562130506</v>
          </cell>
          <cell r="B105" t="str">
            <v>PCSC</v>
          </cell>
          <cell r="C105" t="str">
            <v>DLEP</v>
          </cell>
          <cell r="D105" t="str">
            <v xml:space="preserve">MINISTERE DE L'EDUCATION </v>
          </cell>
          <cell r="E105" t="str">
            <v>NF5.621.3.262.128.05.06</v>
          </cell>
        </row>
        <row r="106">
          <cell r="A106" t="str">
            <v>NF562130507</v>
          </cell>
          <cell r="B106" t="str">
            <v>PCSC</v>
          </cell>
          <cell r="C106" t="str">
            <v>DLEP</v>
          </cell>
          <cell r="D106" t="str">
            <v xml:space="preserve">MINISTERE DE L'EDUCATION </v>
          </cell>
          <cell r="E106" t="str">
            <v>NF5.621.3.262.128.05.07</v>
          </cell>
        </row>
        <row r="107">
          <cell r="A107" t="str">
            <v>NF562130608</v>
          </cell>
          <cell r="B107" t="str">
            <v>PCSC</v>
          </cell>
          <cell r="C107" t="str">
            <v>DLEP</v>
          </cell>
          <cell r="D107" t="str">
            <v xml:space="preserve">MINISTERE DE L'EDUCATION </v>
          </cell>
          <cell r="E107" t="str">
            <v>NF5.621.3.262.128.06.08</v>
          </cell>
        </row>
        <row r="108">
          <cell r="A108" t="str">
            <v>NF562150508</v>
          </cell>
          <cell r="B108" t="str">
            <v>PCSC</v>
          </cell>
          <cell r="C108" t="str">
            <v>DLEP</v>
          </cell>
          <cell r="D108" t="str">
            <v xml:space="preserve">MINISTERE DE L'EDUCATION </v>
          </cell>
          <cell r="E108" t="str">
            <v>NF5.621.5.262.128.05.08</v>
          </cell>
        </row>
        <row r="109">
          <cell r="A109" t="str">
            <v>NF562150509</v>
          </cell>
          <cell r="B109" t="str">
            <v>PCSC</v>
          </cell>
          <cell r="C109" t="str">
            <v>DLEP</v>
          </cell>
          <cell r="D109" t="str">
            <v xml:space="preserve">MINISTERE DE L'EDUCATION </v>
          </cell>
          <cell r="E109" t="str">
            <v>NF5.621.5.262.128.05.09</v>
          </cell>
        </row>
        <row r="110">
          <cell r="A110" t="str">
            <v>NF562150610</v>
          </cell>
          <cell r="B110" t="str">
            <v>PCSC</v>
          </cell>
          <cell r="C110" t="str">
            <v>DLEP</v>
          </cell>
          <cell r="D110" t="str">
            <v xml:space="preserve">MINISTERE DE L'EDUCATION </v>
          </cell>
          <cell r="E110" t="str">
            <v>NF5.621.5.262.128.06.10</v>
          </cell>
        </row>
        <row r="111">
          <cell r="A111" t="str">
            <v>NF562150612</v>
          </cell>
          <cell r="B111" t="str">
            <v>PCSC</v>
          </cell>
          <cell r="C111" t="str">
            <v>DLEP</v>
          </cell>
          <cell r="D111" t="str">
            <v xml:space="preserve">MINISTERE DE L'EDUCATION </v>
          </cell>
          <cell r="E111" t="str">
            <v>NF5.621.5.262.128.06.12</v>
          </cell>
        </row>
        <row r="112">
          <cell r="A112" t="str">
            <v>NF562180705</v>
          </cell>
          <cell r="B112" t="str">
            <v>PCSC</v>
          </cell>
          <cell r="C112" t="str">
            <v>DLEP</v>
          </cell>
          <cell r="D112" t="str">
            <v xml:space="preserve">MINISTERE DE L'EDUCATION </v>
          </cell>
          <cell r="E112" t="str">
            <v>NF5.621.8.262.128.07.05</v>
          </cell>
        </row>
        <row r="113">
          <cell r="A113" t="str">
            <v>NF562180706</v>
          </cell>
          <cell r="B113" t="str">
            <v>PCSC</v>
          </cell>
          <cell r="C113" t="str">
            <v>DLEP</v>
          </cell>
          <cell r="D113" t="str">
            <v xml:space="preserve">MINISTERE DE L'EDUCATION </v>
          </cell>
          <cell r="E113" t="str">
            <v>NF5.621.8.262.128.07.06</v>
          </cell>
        </row>
        <row r="114">
          <cell r="A114" t="str">
            <v>NF562180911</v>
          </cell>
          <cell r="B114" t="str">
            <v>PCSC</v>
          </cell>
          <cell r="C114" t="str">
            <v>DLEP</v>
          </cell>
          <cell r="D114" t="str">
            <v xml:space="preserve">MINISTERE DE L'EDUCATION </v>
          </cell>
          <cell r="E114" t="str">
            <v>NF5.621.8.262.128.09.11</v>
          </cell>
        </row>
        <row r="115">
          <cell r="A115" t="str">
            <v>NF562180912</v>
          </cell>
          <cell r="B115" t="str">
            <v>PCSC</v>
          </cell>
          <cell r="C115" t="str">
            <v>DLEP</v>
          </cell>
          <cell r="D115" t="str">
            <v xml:space="preserve">MINISTERE DE L'EDUCATION </v>
          </cell>
          <cell r="E115" t="str">
            <v>NF5.621.8.262.128.09.12</v>
          </cell>
        </row>
        <row r="116">
          <cell r="A116" t="str">
            <v>NF562210514</v>
          </cell>
          <cell r="B116" t="str">
            <v>PCSC</v>
          </cell>
          <cell r="C116" t="str">
            <v>DLEP</v>
          </cell>
          <cell r="D116" t="str">
            <v xml:space="preserve">MINISTERE DE L'EDUCATION </v>
          </cell>
          <cell r="E116" t="str">
            <v>NF5.622.1.262.128.05.14</v>
          </cell>
        </row>
        <row r="117">
          <cell r="A117" t="str">
            <v>NF562210615</v>
          </cell>
          <cell r="B117" t="str">
            <v>PCSC</v>
          </cell>
          <cell r="C117" t="str">
            <v>DLEP</v>
          </cell>
          <cell r="D117" t="str">
            <v xml:space="preserve">MINISTERE DE L'EDUCATION </v>
          </cell>
          <cell r="E117" t="str">
            <v>NF5.622.1.262.128.06.15</v>
          </cell>
        </row>
        <row r="118">
          <cell r="A118" t="str">
            <v>NF562210616</v>
          </cell>
          <cell r="B118" t="str">
            <v>PCSC</v>
          </cell>
          <cell r="C118" t="str">
            <v>DLEP</v>
          </cell>
          <cell r="D118" t="str">
            <v xml:space="preserve">MINISTERE DE L'EDUCATION </v>
          </cell>
          <cell r="E118" t="str">
            <v>NF5.622.1.262.128.06.16</v>
          </cell>
        </row>
        <row r="119">
          <cell r="A119" t="str">
            <v>NF562210617</v>
          </cell>
          <cell r="B119" t="str">
            <v>PCSC</v>
          </cell>
          <cell r="C119" t="str">
            <v>DLEP</v>
          </cell>
          <cell r="D119" t="str">
            <v xml:space="preserve">MINISTERE DE L'EDUCATION </v>
          </cell>
          <cell r="E119" t="str">
            <v>NF5.622.1.262.128.06.17</v>
          </cell>
        </row>
        <row r="120">
          <cell r="A120" t="str">
            <v>NF562210618</v>
          </cell>
          <cell r="B120" t="str">
            <v>PCSC</v>
          </cell>
          <cell r="C120" t="str">
            <v>DLEP</v>
          </cell>
          <cell r="D120" t="str">
            <v xml:space="preserve">MINISTERE DE L'EDUCATION </v>
          </cell>
          <cell r="E120" t="str">
            <v>NF5.622.1.262.128.06.18</v>
          </cell>
        </row>
        <row r="121">
          <cell r="A121" t="str">
            <v>NF562210619</v>
          </cell>
          <cell r="B121" t="str">
            <v>PCSC</v>
          </cell>
          <cell r="C121" t="str">
            <v>DLEP</v>
          </cell>
          <cell r="D121" t="str">
            <v xml:space="preserve">MINISTERE DE L'EDUCATION </v>
          </cell>
          <cell r="E121" t="str">
            <v>NF5.622.1.262.128.06.19</v>
          </cell>
        </row>
        <row r="122">
          <cell r="A122" t="str">
            <v>NF562210620</v>
          </cell>
          <cell r="B122" t="str">
            <v>PCSC</v>
          </cell>
          <cell r="C122" t="str">
            <v>DLEP</v>
          </cell>
          <cell r="D122" t="str">
            <v xml:space="preserve">MINISTERE DE L'EDUCATION </v>
          </cell>
          <cell r="E122" t="str">
            <v>NF5.622.1.262.128.06.20</v>
          </cell>
        </row>
        <row r="123">
          <cell r="A123" t="str">
            <v>NF562210621</v>
          </cell>
          <cell r="B123" t="str">
            <v>PCSC</v>
          </cell>
          <cell r="C123" t="str">
            <v>DLEP</v>
          </cell>
          <cell r="D123" t="str">
            <v xml:space="preserve">MINISTERE DE L'EDUCATION </v>
          </cell>
          <cell r="E123" t="str">
            <v>NF5.622.1.262.128.06.21</v>
          </cell>
        </row>
        <row r="124">
          <cell r="A124" t="str">
            <v>NF562210622</v>
          </cell>
          <cell r="B124" t="str">
            <v>PCSC</v>
          </cell>
          <cell r="C124" t="str">
            <v>DLEP</v>
          </cell>
          <cell r="D124" t="str">
            <v xml:space="preserve">MINISTERE DE L'EDUCATION </v>
          </cell>
          <cell r="E124" t="str">
            <v>NF5.622.1.262.128.06.22</v>
          </cell>
        </row>
        <row r="125">
          <cell r="A125" t="str">
            <v>NF562210623</v>
          </cell>
          <cell r="B125" t="str">
            <v>PCSC</v>
          </cell>
          <cell r="C125" t="str">
            <v>DLEP</v>
          </cell>
          <cell r="D125" t="str">
            <v xml:space="preserve">MINISTERE DE L'EDUCATION </v>
          </cell>
          <cell r="E125" t="str">
            <v>NF5.622.1.262.128.06.23</v>
          </cell>
        </row>
        <row r="126">
          <cell r="A126" t="str">
            <v>NF562210724</v>
          </cell>
          <cell r="B126" t="str">
            <v>PCSC</v>
          </cell>
          <cell r="C126" t="str">
            <v>DLEP</v>
          </cell>
          <cell r="D126" t="str">
            <v xml:space="preserve">MINISTERE DE L'EDUCATION </v>
          </cell>
          <cell r="E126" t="str">
            <v>NF5.622.1.262.128.07.24</v>
          </cell>
        </row>
        <row r="127">
          <cell r="A127" t="str">
            <v>NF562210926</v>
          </cell>
          <cell r="B127" t="str">
            <v>PCSC</v>
          </cell>
          <cell r="C127" t="str">
            <v>DLEP</v>
          </cell>
          <cell r="D127" t="str">
            <v xml:space="preserve">MINISTERE DE L'EDUCATION </v>
          </cell>
          <cell r="E127" t="str">
            <v>NF5.622.1.262.128.09.26</v>
          </cell>
        </row>
        <row r="128">
          <cell r="A128" t="str">
            <v>NF562260620</v>
          </cell>
          <cell r="B128" t="str">
            <v>PCSC</v>
          </cell>
          <cell r="C128" t="str">
            <v>DLEP</v>
          </cell>
          <cell r="D128" t="str">
            <v xml:space="preserve">MINISTERE DE L'EDUCATION </v>
          </cell>
          <cell r="E128" t="str">
            <v>NF5.622.6.262.128.06.20</v>
          </cell>
        </row>
        <row r="129">
          <cell r="A129" t="str">
            <v>NF562260621</v>
          </cell>
          <cell r="B129" t="str">
            <v>PCSC</v>
          </cell>
          <cell r="C129" t="str">
            <v>DLEP</v>
          </cell>
          <cell r="D129" t="str">
            <v xml:space="preserve">MINISTERE DE L'EDUCATION </v>
          </cell>
          <cell r="E129" t="str">
            <v>NF5.622.6.262.128.06.21</v>
          </cell>
        </row>
        <row r="130">
          <cell r="A130" t="str">
            <v>NF562260723</v>
          </cell>
          <cell r="B130" t="str">
            <v>PCSC</v>
          </cell>
          <cell r="C130" t="str">
            <v>DLEP</v>
          </cell>
          <cell r="D130" t="str">
            <v xml:space="preserve">MINISTERE DE L'EDUCATION </v>
          </cell>
          <cell r="E130" t="str">
            <v>NF5.622.6.262.128.07.23</v>
          </cell>
        </row>
        <row r="131">
          <cell r="A131" t="str">
            <v>NF562260822</v>
          </cell>
          <cell r="B131" t="str">
            <v>PCSC</v>
          </cell>
          <cell r="C131" t="str">
            <v>DLEP</v>
          </cell>
          <cell r="D131" t="str">
            <v xml:space="preserve">MINISTERE DE L'EDUCATION </v>
          </cell>
          <cell r="E131" t="str">
            <v>NF5.622.6.262.128.08.22</v>
          </cell>
        </row>
        <row r="132">
          <cell r="A132" t="str">
            <v>NF562260924</v>
          </cell>
          <cell r="B132" t="str">
            <v>PCSC</v>
          </cell>
          <cell r="C132" t="str">
            <v>DLEP</v>
          </cell>
          <cell r="D132" t="str">
            <v xml:space="preserve">MINISTERE DE L'EDUCATION </v>
          </cell>
          <cell r="E132" t="str">
            <v>NF5.622.6.262.128.09.24</v>
          </cell>
        </row>
        <row r="133">
          <cell r="A133" t="str">
            <v>NF562270602</v>
          </cell>
          <cell r="B133" t="str">
            <v>PCSC</v>
          </cell>
          <cell r="C133" t="str">
            <v>DLEP</v>
          </cell>
          <cell r="D133" t="str">
            <v xml:space="preserve">MINISTERE DE L'EDUCATION </v>
          </cell>
          <cell r="E133" t="str">
            <v>NF5.622.7.262.128.06.02</v>
          </cell>
        </row>
        <row r="134">
          <cell r="A134" t="str">
            <v>NF562270606</v>
          </cell>
          <cell r="B134" t="str">
            <v>PCSC</v>
          </cell>
          <cell r="C134" t="str">
            <v>DLEP</v>
          </cell>
          <cell r="D134" t="str">
            <v xml:space="preserve">MINISTERE DE L'EDUCATION </v>
          </cell>
          <cell r="E134" t="str">
            <v>NF5.622.7.262.128.06.06</v>
          </cell>
        </row>
        <row r="135">
          <cell r="A135" t="str">
            <v>NF562270804</v>
          </cell>
          <cell r="B135" t="str">
            <v>PCSC</v>
          </cell>
          <cell r="C135" t="str">
            <v>DLEP</v>
          </cell>
          <cell r="D135" t="str">
            <v xml:space="preserve">MINISTERE DE L'EDUCATION </v>
          </cell>
          <cell r="E135" t="str">
            <v>NF5.622.7.262.128.08.04</v>
          </cell>
        </row>
        <row r="136">
          <cell r="A136" t="str">
            <v>NF562270905</v>
          </cell>
          <cell r="B136" t="str">
            <v>PCSC</v>
          </cell>
          <cell r="C136" t="str">
            <v>DLEP</v>
          </cell>
          <cell r="D136" t="str">
            <v xml:space="preserve">MINISTERE DE L'EDUCATION </v>
          </cell>
          <cell r="E136" t="str">
            <v>NF5.622.7.262.128.09.05</v>
          </cell>
        </row>
        <row r="137">
          <cell r="A137" t="str">
            <v>NF562280515</v>
          </cell>
          <cell r="B137" t="str">
            <v>PCSC</v>
          </cell>
          <cell r="C137" t="str">
            <v>DLEP</v>
          </cell>
          <cell r="D137" t="str">
            <v xml:space="preserve">MINISTERE DE L'EDUCATION </v>
          </cell>
          <cell r="E137" t="str">
            <v>NF5.622.8.262.128.05.15</v>
          </cell>
        </row>
        <row r="138">
          <cell r="A138" t="str">
            <v>NF562280614</v>
          </cell>
          <cell r="B138" t="str">
            <v>PCSC</v>
          </cell>
          <cell r="C138" t="str">
            <v>DLEP</v>
          </cell>
          <cell r="D138" t="str">
            <v xml:space="preserve">MINISTERE DE L'EDUCATION </v>
          </cell>
          <cell r="E138" t="str">
            <v>NF5.622.8.262.128.06.14</v>
          </cell>
        </row>
        <row r="139">
          <cell r="A139" t="str">
            <v>NF562280617</v>
          </cell>
          <cell r="B139" t="str">
            <v>PCSC</v>
          </cell>
          <cell r="C139" t="str">
            <v>DLEP</v>
          </cell>
          <cell r="D139" t="str">
            <v xml:space="preserve">MINISTERE DE L'EDUCATION </v>
          </cell>
          <cell r="E139" t="str">
            <v>NF5.622.8.262.128.06.17</v>
          </cell>
        </row>
        <row r="140">
          <cell r="A140" t="str">
            <v>NF562280618</v>
          </cell>
          <cell r="B140" t="str">
            <v>PCSC</v>
          </cell>
          <cell r="C140" t="str">
            <v>DLEP</v>
          </cell>
          <cell r="D140" t="str">
            <v xml:space="preserve">MINISTERE DE L'EDUCATION </v>
          </cell>
          <cell r="E140" t="str">
            <v>NF5.622.8.262.128.06.18</v>
          </cell>
        </row>
        <row r="141">
          <cell r="A141" t="str">
            <v>NF562280619</v>
          </cell>
          <cell r="B141" t="str">
            <v>PCSC</v>
          </cell>
          <cell r="C141" t="str">
            <v>DLEP</v>
          </cell>
          <cell r="D141" t="str">
            <v xml:space="preserve">MINISTERE DE L'EDUCATION </v>
          </cell>
          <cell r="E141" t="str">
            <v>NF5.622.8.262.128.06.19</v>
          </cell>
        </row>
        <row r="142">
          <cell r="A142" t="str">
            <v>NF562280921</v>
          </cell>
          <cell r="B142" t="str">
            <v>PCSC</v>
          </cell>
          <cell r="C142" t="str">
            <v>DLEP</v>
          </cell>
          <cell r="D142" t="str">
            <v xml:space="preserve">MINISTERE DE L'EDUCATION </v>
          </cell>
          <cell r="E142" t="str">
            <v>NF5.622.8.262.128.09.21</v>
          </cell>
        </row>
        <row r="143">
          <cell r="A143" t="str">
            <v>NF562280922</v>
          </cell>
          <cell r="B143" t="str">
            <v>PCSC</v>
          </cell>
          <cell r="C143" t="str">
            <v>DLEP</v>
          </cell>
          <cell r="D143" t="str">
            <v xml:space="preserve">MINISTERE DE L'EDUCATION </v>
          </cell>
          <cell r="E143" t="str">
            <v>NF5.622.8.262.128.09.22</v>
          </cell>
        </row>
        <row r="144">
          <cell r="A144" t="str">
            <v>NF562320538</v>
          </cell>
          <cell r="B144" t="str">
            <v>PCSC</v>
          </cell>
          <cell r="C144" t="str">
            <v>DLEP</v>
          </cell>
          <cell r="D144" t="str">
            <v xml:space="preserve">MINISTERE DE L'EDUCATION </v>
          </cell>
          <cell r="E144" t="str">
            <v>NF5.623.2.262.128.05.38</v>
          </cell>
        </row>
        <row r="145">
          <cell r="A145" t="str">
            <v>NF562320539</v>
          </cell>
          <cell r="B145" t="str">
            <v>PCSC</v>
          </cell>
          <cell r="C145" t="str">
            <v>DLEP</v>
          </cell>
          <cell r="D145" t="str">
            <v xml:space="preserve">MINISTERE DE L'EDUCATION </v>
          </cell>
          <cell r="E145" t="str">
            <v>NF5.623.2.262.128.05.39</v>
          </cell>
        </row>
        <row r="146">
          <cell r="A146" t="str">
            <v>NF562320540</v>
          </cell>
          <cell r="B146" t="str">
            <v>PCSC</v>
          </cell>
          <cell r="C146" t="str">
            <v>DLEP</v>
          </cell>
          <cell r="D146" t="str">
            <v xml:space="preserve">MINISTERE DE L'EDUCATION </v>
          </cell>
          <cell r="E146" t="str">
            <v>NF5.623.2.262.128.05.40</v>
          </cell>
        </row>
        <row r="147">
          <cell r="A147" t="str">
            <v>NF562320541</v>
          </cell>
          <cell r="B147" t="str">
            <v>PCSC</v>
          </cell>
          <cell r="C147" t="str">
            <v>DLEP</v>
          </cell>
          <cell r="D147" t="str">
            <v xml:space="preserve">MINISTERE DE L'EDUCATION </v>
          </cell>
          <cell r="E147" t="str">
            <v>NF5.623.2.262.128.05.41</v>
          </cell>
        </row>
        <row r="148">
          <cell r="A148" t="str">
            <v>NF562320642</v>
          </cell>
          <cell r="B148" t="str">
            <v>PCSC</v>
          </cell>
          <cell r="C148" t="str">
            <v>DLEP</v>
          </cell>
          <cell r="D148" t="str">
            <v xml:space="preserve">MINISTERE DE L'EDUCATION </v>
          </cell>
          <cell r="E148" t="str">
            <v>NF5.623.2.262.128.06.42</v>
          </cell>
        </row>
        <row r="149">
          <cell r="A149" t="str">
            <v>NF562320643</v>
          </cell>
          <cell r="B149" t="str">
            <v>PCSC</v>
          </cell>
          <cell r="C149" t="str">
            <v>DLEP</v>
          </cell>
          <cell r="D149" t="str">
            <v xml:space="preserve">MINISTERE DE L'EDUCATION </v>
          </cell>
          <cell r="E149" t="str">
            <v>NF5.623.2.262.128.06.43</v>
          </cell>
        </row>
        <row r="150">
          <cell r="A150" t="str">
            <v>NF562320644</v>
          </cell>
          <cell r="B150" t="str">
            <v>PCSC</v>
          </cell>
          <cell r="C150" t="str">
            <v>DLEP</v>
          </cell>
          <cell r="D150" t="str">
            <v xml:space="preserve">MINISTERE DE L'EDUCATION </v>
          </cell>
          <cell r="E150" t="str">
            <v>NF5.623.2.262.128.06.44</v>
          </cell>
        </row>
        <row r="151">
          <cell r="A151" t="str">
            <v>NF562320645</v>
          </cell>
          <cell r="B151" t="str">
            <v>PCSC</v>
          </cell>
          <cell r="C151" t="str">
            <v>DLEP</v>
          </cell>
          <cell r="D151" t="str">
            <v xml:space="preserve">MINISTERE DE L'EDUCATION </v>
          </cell>
          <cell r="E151" t="str">
            <v>NF5.623.2.262.128.06.45</v>
          </cell>
        </row>
        <row r="152">
          <cell r="A152" t="str">
            <v>NF562320646</v>
          </cell>
          <cell r="B152" t="str">
            <v>PCSC</v>
          </cell>
          <cell r="C152" t="str">
            <v>DLEP</v>
          </cell>
          <cell r="D152" t="str">
            <v xml:space="preserve">MINISTERE DE L'EDUCATION </v>
          </cell>
          <cell r="E152" t="str">
            <v>NF5.623.2.262.128.06.46</v>
          </cell>
        </row>
        <row r="153">
          <cell r="A153" t="str">
            <v>NF562320647</v>
          </cell>
          <cell r="B153" t="str">
            <v>PCSC</v>
          </cell>
          <cell r="C153" t="str">
            <v>DLEP</v>
          </cell>
          <cell r="D153" t="str">
            <v xml:space="preserve">MINISTERE DE L'EDUCATION </v>
          </cell>
          <cell r="E153" t="str">
            <v>NF5.623.2.262.128.06.47</v>
          </cell>
        </row>
        <row r="154">
          <cell r="A154" t="str">
            <v>NF562320648</v>
          </cell>
          <cell r="B154" t="str">
            <v>PCSC</v>
          </cell>
          <cell r="C154" t="str">
            <v>DLEP</v>
          </cell>
          <cell r="D154" t="str">
            <v xml:space="preserve">MINISTERE DE L'EDUCATION </v>
          </cell>
          <cell r="E154" t="str">
            <v>NF5.623.2.262.128.06.48</v>
          </cell>
        </row>
        <row r="155">
          <cell r="A155" t="str">
            <v>NF562320649</v>
          </cell>
          <cell r="B155" t="str">
            <v>PCSC</v>
          </cell>
          <cell r="C155" t="str">
            <v>DLEP</v>
          </cell>
          <cell r="D155" t="str">
            <v xml:space="preserve">MINISTERE DE L'EDUCATION </v>
          </cell>
          <cell r="E155" t="str">
            <v>NF5.623.2.262.128.06.49</v>
          </cell>
        </row>
        <row r="156">
          <cell r="A156" t="str">
            <v>NF562320650</v>
          </cell>
          <cell r="B156" t="str">
            <v>PCSC</v>
          </cell>
          <cell r="C156" t="str">
            <v>DLEP</v>
          </cell>
          <cell r="D156" t="str">
            <v xml:space="preserve">MINISTERE DE L'EDUCATION </v>
          </cell>
          <cell r="E156" t="str">
            <v>NF5.623.2.262.128.06.50</v>
          </cell>
        </row>
        <row r="157">
          <cell r="A157" t="str">
            <v>NF562320651</v>
          </cell>
          <cell r="B157" t="str">
            <v>PCSC</v>
          </cell>
          <cell r="C157" t="str">
            <v>DLEP</v>
          </cell>
          <cell r="D157" t="str">
            <v xml:space="preserve">MINISTERE DE L'EDUCATION </v>
          </cell>
          <cell r="E157" t="str">
            <v>NF5.623.2.262.128.06.51</v>
          </cell>
        </row>
        <row r="158">
          <cell r="A158" t="str">
            <v>NF562320652</v>
          </cell>
          <cell r="B158" t="str">
            <v>PCSC</v>
          </cell>
          <cell r="C158" t="str">
            <v>DLEP</v>
          </cell>
          <cell r="D158" t="str">
            <v xml:space="preserve">MINISTERE DE L'EDUCATION </v>
          </cell>
          <cell r="E158" t="str">
            <v>NF5.623.2.262.128.06.52</v>
          </cell>
        </row>
        <row r="159">
          <cell r="A159" t="str">
            <v>NF562320653</v>
          </cell>
          <cell r="B159" t="str">
            <v>PCSC</v>
          </cell>
          <cell r="C159" t="str">
            <v>DLEP</v>
          </cell>
          <cell r="D159" t="str">
            <v xml:space="preserve">MINISTERE DE L'EDUCATION </v>
          </cell>
          <cell r="E159" t="str">
            <v>NF5.623.2.262.128.06.53</v>
          </cell>
        </row>
        <row r="160">
          <cell r="A160" t="str">
            <v>NF562320654</v>
          </cell>
          <cell r="B160" t="str">
            <v>PCSC</v>
          </cell>
          <cell r="C160" t="str">
            <v>DLEP</v>
          </cell>
          <cell r="D160" t="str">
            <v xml:space="preserve">MINISTERE DE L'EDUCATION </v>
          </cell>
          <cell r="E160" t="str">
            <v>NF5.623.2.262.128.06.54</v>
          </cell>
        </row>
        <row r="161">
          <cell r="A161" t="str">
            <v>NF562320655</v>
          </cell>
          <cell r="B161" t="str">
            <v>PCSC</v>
          </cell>
          <cell r="C161" t="str">
            <v>DLEP</v>
          </cell>
          <cell r="D161" t="str">
            <v xml:space="preserve">MINISTERE DE L'EDUCATION </v>
          </cell>
          <cell r="E161" t="str">
            <v>NF5.623.2.262.128.06.55</v>
          </cell>
        </row>
        <row r="162">
          <cell r="A162" t="str">
            <v>NF562320656</v>
          </cell>
          <cell r="B162" t="str">
            <v>PCSC</v>
          </cell>
          <cell r="C162" t="str">
            <v>DLEP</v>
          </cell>
          <cell r="D162" t="str">
            <v xml:space="preserve">MINISTERE DE L'EDUCATION </v>
          </cell>
          <cell r="E162" t="str">
            <v>NF5.623.2.262.128.06.56</v>
          </cell>
        </row>
        <row r="163">
          <cell r="A163" t="str">
            <v>NF562320657</v>
          </cell>
          <cell r="B163" t="str">
            <v>PCSC</v>
          </cell>
          <cell r="C163" t="str">
            <v>DLEP</v>
          </cell>
          <cell r="D163" t="str">
            <v xml:space="preserve">MINISTERE DE L'EDUCATION </v>
          </cell>
          <cell r="E163" t="str">
            <v>NF5.623.2.262.128.06.57</v>
          </cell>
        </row>
        <row r="164">
          <cell r="A164" t="str">
            <v>NF562320859</v>
          </cell>
          <cell r="B164" t="str">
            <v>PCSC</v>
          </cell>
          <cell r="C164" t="str">
            <v>DLEP</v>
          </cell>
          <cell r="D164" t="str">
            <v xml:space="preserve">MINISTERE DE L'EDUCATION </v>
          </cell>
          <cell r="E164" t="str">
            <v>NF5.623.2.262.128.08.59</v>
          </cell>
        </row>
        <row r="165">
          <cell r="A165" t="str">
            <v>NF562320860</v>
          </cell>
          <cell r="B165" t="str">
            <v>PCSC</v>
          </cell>
          <cell r="C165" t="str">
            <v>DLEP</v>
          </cell>
          <cell r="D165" t="str">
            <v xml:space="preserve">MINISTERE DE L'EDUCATION </v>
          </cell>
          <cell r="E165" t="str">
            <v>NF5.623.2.262.128.08.60</v>
          </cell>
        </row>
        <row r="166">
          <cell r="A166" t="str">
            <v>NF562320862</v>
          </cell>
          <cell r="B166" t="str">
            <v>PCSC</v>
          </cell>
          <cell r="C166" t="str">
            <v>DLEP</v>
          </cell>
          <cell r="D166" t="str">
            <v xml:space="preserve">MINISTERE DE L'EDUCATION </v>
          </cell>
          <cell r="E166" t="str">
            <v>NF5.623.2.262.128.08.62</v>
          </cell>
        </row>
        <row r="167">
          <cell r="A167" t="str">
            <v>NF562320963</v>
          </cell>
          <cell r="B167" t="str">
            <v>PCSC</v>
          </cell>
          <cell r="C167" t="str">
            <v>DLEP</v>
          </cell>
          <cell r="D167" t="str">
            <v xml:space="preserve">MINISTERE DE L'EDUCATION </v>
          </cell>
          <cell r="E167" t="str">
            <v>NF5.623.2.262.128.09.63</v>
          </cell>
        </row>
        <row r="168">
          <cell r="A168" t="str">
            <v>NF562320964</v>
          </cell>
          <cell r="B168" t="str">
            <v>PCSC</v>
          </cell>
          <cell r="C168" t="str">
            <v>DLEP</v>
          </cell>
          <cell r="D168" t="str">
            <v xml:space="preserve">MINISTERE DE L'EDUCATION </v>
          </cell>
          <cell r="E168" t="str">
            <v>NF5.623.2.262.128.09.64</v>
          </cell>
        </row>
        <row r="169">
          <cell r="A169" t="str">
            <v>NF562330613</v>
          </cell>
          <cell r="B169" t="str">
            <v>PCSC</v>
          </cell>
          <cell r="C169" t="str">
            <v>DLEP</v>
          </cell>
          <cell r="D169" t="str">
            <v xml:space="preserve">MINISTERE DE L'EDUCATION </v>
          </cell>
          <cell r="E169" t="str">
            <v>NF5.623.3.262.128.06.13</v>
          </cell>
        </row>
        <row r="170">
          <cell r="A170" t="str">
            <v>NF562330614</v>
          </cell>
          <cell r="B170" t="str">
            <v>PCSC</v>
          </cell>
          <cell r="C170" t="str">
            <v>DLEP</v>
          </cell>
          <cell r="D170" t="str">
            <v xml:space="preserve">MINISTERE DE L'EDUCATION </v>
          </cell>
          <cell r="E170" t="str">
            <v>NF5.623.3.262.128.06.14</v>
          </cell>
        </row>
        <row r="171">
          <cell r="A171" t="str">
            <v>NF562330615</v>
          </cell>
          <cell r="B171" t="str">
            <v>PCSC</v>
          </cell>
          <cell r="C171" t="str">
            <v>DLEP</v>
          </cell>
          <cell r="D171" t="str">
            <v xml:space="preserve">MINISTERE DE L'EDUCATION </v>
          </cell>
          <cell r="E171" t="str">
            <v>NF5.623.3.262.128.06.15</v>
          </cell>
        </row>
        <row r="172">
          <cell r="A172" t="str">
            <v>NF562330616</v>
          </cell>
          <cell r="B172" t="str">
            <v>PCSC</v>
          </cell>
          <cell r="C172" t="str">
            <v>DLEP</v>
          </cell>
          <cell r="D172" t="str">
            <v xml:space="preserve">MINISTERE DE L'EDUCATION </v>
          </cell>
          <cell r="E172" t="str">
            <v>NF5.623.3.262.128.06.16</v>
          </cell>
        </row>
        <row r="173">
          <cell r="A173" t="str">
            <v>NF562330718</v>
          </cell>
          <cell r="B173" t="str">
            <v>PCSC</v>
          </cell>
          <cell r="C173" t="str">
            <v>DLEP</v>
          </cell>
          <cell r="D173" t="str">
            <v xml:space="preserve">MINISTERE DE L'EDUCATION </v>
          </cell>
          <cell r="E173" t="str">
            <v>NF5.623.3.262.128.07.18</v>
          </cell>
        </row>
        <row r="174">
          <cell r="A174" t="str">
            <v>NF562330719</v>
          </cell>
          <cell r="B174" t="str">
            <v>PCSC</v>
          </cell>
          <cell r="C174" t="str">
            <v>DLEP</v>
          </cell>
          <cell r="D174" t="str">
            <v xml:space="preserve">MINISTERE DE L'EDUCATION </v>
          </cell>
          <cell r="E174" t="str">
            <v>NF5.623.3.262.128.07.19</v>
          </cell>
        </row>
        <row r="175">
          <cell r="A175" t="str">
            <v>NF562330820</v>
          </cell>
          <cell r="B175" t="str">
            <v>PCSC</v>
          </cell>
          <cell r="C175" t="str">
            <v>DLEP</v>
          </cell>
          <cell r="D175" t="str">
            <v xml:space="preserve">MINISTERE DE L'EDUCATION </v>
          </cell>
          <cell r="E175" t="str">
            <v>NF5.623.3.262.128.08.20</v>
          </cell>
        </row>
        <row r="176">
          <cell r="A176" t="str">
            <v>NF562330921</v>
          </cell>
          <cell r="B176" t="str">
            <v>PCSC</v>
          </cell>
          <cell r="C176" t="str">
            <v>DLEP</v>
          </cell>
          <cell r="D176" t="str">
            <v xml:space="preserve">MINISTERE DE L'EDUCATION </v>
          </cell>
          <cell r="E176" t="str">
            <v>NF5.623.3.262.128.09.21</v>
          </cell>
        </row>
        <row r="177">
          <cell r="A177" t="str">
            <v>NF562330922</v>
          </cell>
          <cell r="B177" t="str">
            <v>PCSC</v>
          </cell>
          <cell r="C177" t="str">
            <v>DLEP</v>
          </cell>
          <cell r="D177" t="str">
            <v xml:space="preserve">MINISTERE DE L'EDUCATION </v>
          </cell>
          <cell r="E177" t="str">
            <v>NF5.623.3.262.128.09.22</v>
          </cell>
        </row>
        <row r="178">
          <cell r="A178" t="str">
            <v>NF562340533</v>
          </cell>
          <cell r="B178" t="str">
            <v>PCSC</v>
          </cell>
          <cell r="C178" t="str">
            <v>DLEP</v>
          </cell>
          <cell r="D178" t="str">
            <v xml:space="preserve">MINISTERE DE L'EDUCATION </v>
          </cell>
          <cell r="E178" t="str">
            <v>NF5.623.4.262.128.05.33</v>
          </cell>
        </row>
        <row r="179">
          <cell r="A179" t="str">
            <v>NF562340534</v>
          </cell>
          <cell r="B179" t="str">
            <v>PCSC</v>
          </cell>
          <cell r="C179" t="str">
            <v>DLEP</v>
          </cell>
          <cell r="D179" t="str">
            <v xml:space="preserve">MINISTERE DE L'EDUCATION </v>
          </cell>
          <cell r="E179" t="str">
            <v>NF5.623.4.262.128.05.34</v>
          </cell>
        </row>
        <row r="180">
          <cell r="A180" t="str">
            <v>NF562340635</v>
          </cell>
          <cell r="B180" t="str">
            <v>PCSC</v>
          </cell>
          <cell r="C180" t="str">
            <v>DLEP</v>
          </cell>
          <cell r="D180" t="str">
            <v xml:space="preserve">MINISTERE DE L'EDUCATION </v>
          </cell>
          <cell r="E180" t="str">
            <v>NF5.623.4.262.128.06.35</v>
          </cell>
        </row>
        <row r="181">
          <cell r="A181" t="str">
            <v>NF562340737</v>
          </cell>
          <cell r="B181" t="str">
            <v>PCSC</v>
          </cell>
          <cell r="C181" t="str">
            <v>DLEP</v>
          </cell>
          <cell r="D181" t="str">
            <v xml:space="preserve">MINISTERE DE L'EDUCATION </v>
          </cell>
          <cell r="E181" t="str">
            <v>NF5.623.4.262.128.07.37</v>
          </cell>
        </row>
        <row r="182">
          <cell r="A182" t="str">
            <v>NF562340838</v>
          </cell>
          <cell r="B182" t="str">
            <v>PCSC</v>
          </cell>
          <cell r="C182" t="str">
            <v>DLEP</v>
          </cell>
          <cell r="D182" t="str">
            <v xml:space="preserve">MINISTERE DE L'EDUCATION </v>
          </cell>
          <cell r="E182" t="str">
            <v>NF5.623.4.262.128.08.38</v>
          </cell>
        </row>
        <row r="183">
          <cell r="A183" t="str">
            <v>NF562340839</v>
          </cell>
          <cell r="B183" t="str">
            <v>PCSC</v>
          </cell>
          <cell r="C183" t="str">
            <v>DLEP</v>
          </cell>
          <cell r="D183" t="str">
            <v xml:space="preserve">MINISTERE DE L'EDUCATION </v>
          </cell>
          <cell r="E183" t="str">
            <v>NF5.623.4.262.128.08.39</v>
          </cell>
        </row>
        <row r="184">
          <cell r="A184" t="str">
            <v>NF562340940</v>
          </cell>
          <cell r="B184" t="str">
            <v>PCSC</v>
          </cell>
          <cell r="C184" t="str">
            <v>DLEP</v>
          </cell>
          <cell r="D184" t="str">
            <v xml:space="preserve">MINISTERE DE L'EDUCATION </v>
          </cell>
          <cell r="E184" t="str">
            <v>NF5.623.4.262.128.09.40</v>
          </cell>
        </row>
        <row r="185">
          <cell r="A185" t="str">
            <v>NF562360619</v>
          </cell>
          <cell r="B185" t="str">
            <v>PCSC</v>
          </cell>
          <cell r="C185" t="str">
            <v>DLEP</v>
          </cell>
          <cell r="D185" t="str">
            <v xml:space="preserve">MINISTERE DE L'EDUCATION </v>
          </cell>
          <cell r="E185" t="str">
            <v>NF5.623.6.262.128.06.19</v>
          </cell>
        </row>
        <row r="186">
          <cell r="A186" t="str">
            <v>NF562360620</v>
          </cell>
          <cell r="B186" t="str">
            <v>PCSC</v>
          </cell>
          <cell r="C186" t="str">
            <v>DLEP</v>
          </cell>
          <cell r="D186" t="str">
            <v xml:space="preserve">MINISTERE DE L'EDUCATION </v>
          </cell>
          <cell r="E186" t="str">
            <v>NF5.623.6.262.128.06.20</v>
          </cell>
        </row>
        <row r="187">
          <cell r="A187" t="str">
            <v>NF562360621</v>
          </cell>
          <cell r="B187" t="str">
            <v>PCSC</v>
          </cell>
          <cell r="C187" t="str">
            <v>DLEP</v>
          </cell>
          <cell r="D187" t="str">
            <v xml:space="preserve">MINISTERE DE L'EDUCATION </v>
          </cell>
          <cell r="E187" t="str">
            <v>NF5.623.6.262.128.06.21</v>
          </cell>
        </row>
        <row r="188">
          <cell r="A188" t="str">
            <v>NF562360622</v>
          </cell>
          <cell r="B188" t="str">
            <v>PCSC</v>
          </cell>
          <cell r="C188" t="str">
            <v>DLEP</v>
          </cell>
          <cell r="D188" t="str">
            <v xml:space="preserve">MINISTERE DE L'EDUCATION </v>
          </cell>
          <cell r="E188" t="str">
            <v>NF5.623.6.262.128.06.22</v>
          </cell>
        </row>
        <row r="189">
          <cell r="A189" t="str">
            <v>NF562360725</v>
          </cell>
          <cell r="B189" t="str">
            <v>PCSC</v>
          </cell>
          <cell r="C189" t="str">
            <v>DLEP</v>
          </cell>
          <cell r="D189" t="str">
            <v xml:space="preserve">MINISTERE DE L'EDUCATION </v>
          </cell>
          <cell r="E189" t="str">
            <v>NF5.623.6.262.128.07.25</v>
          </cell>
        </row>
        <row r="190">
          <cell r="A190" t="str">
            <v>NF562360726</v>
          </cell>
          <cell r="B190" t="str">
            <v>PCSC</v>
          </cell>
          <cell r="C190" t="str">
            <v>DLEP</v>
          </cell>
          <cell r="D190" t="str">
            <v xml:space="preserve">MINISTERE DE L'EDUCATION </v>
          </cell>
          <cell r="E190" t="str">
            <v>NF5.623.6.262.128.07.26</v>
          </cell>
        </row>
        <row r="191">
          <cell r="A191" t="str">
            <v>NF562360823</v>
          </cell>
          <cell r="B191" t="str">
            <v>PCSC</v>
          </cell>
          <cell r="C191" t="str">
            <v>DLEP</v>
          </cell>
          <cell r="D191" t="str">
            <v xml:space="preserve">MINISTERE DE L'EDUCATION </v>
          </cell>
          <cell r="E191" t="str">
            <v>NF5.623.6.262.128.08.23</v>
          </cell>
        </row>
        <row r="192">
          <cell r="A192" t="str">
            <v>NF562360824</v>
          </cell>
          <cell r="B192" t="str">
            <v>PCSC</v>
          </cell>
          <cell r="C192" t="str">
            <v>DLEP</v>
          </cell>
          <cell r="D192" t="str">
            <v xml:space="preserve">MINISTERE DE L'EDUCATION </v>
          </cell>
          <cell r="E192" t="str">
            <v>NF5.623.6.262.128.08.24</v>
          </cell>
        </row>
        <row r="193">
          <cell r="A193" t="str">
            <v>NF562360927</v>
          </cell>
          <cell r="B193" t="str">
            <v>PCSC</v>
          </cell>
          <cell r="C193" t="str">
            <v>DLEP</v>
          </cell>
          <cell r="D193" t="str">
            <v xml:space="preserve">MINISTERE DE L'EDUCATION </v>
          </cell>
          <cell r="E193" t="str">
            <v>NF5.623.6.262.128.09.27</v>
          </cell>
        </row>
        <row r="194">
          <cell r="A194" t="str">
            <v>NF562360928</v>
          </cell>
          <cell r="B194" t="str">
            <v>PCSC</v>
          </cell>
          <cell r="C194" t="str">
            <v>DLEP</v>
          </cell>
          <cell r="D194" t="str">
            <v xml:space="preserve">MINISTERE DE L'EDUCATION </v>
          </cell>
          <cell r="E194" t="str">
            <v>NF5.623.6.262.128.09.28</v>
          </cell>
        </row>
        <row r="195">
          <cell r="A195" t="str">
            <v>NF562370607</v>
          </cell>
          <cell r="B195" t="str">
            <v>PCSC</v>
          </cell>
          <cell r="C195" t="str">
            <v>DLEP</v>
          </cell>
          <cell r="D195" t="str">
            <v xml:space="preserve">MINISTERE DE L'EDUCATION </v>
          </cell>
          <cell r="E195" t="str">
            <v>NF5.623.7.262.128.06.07</v>
          </cell>
        </row>
        <row r="196">
          <cell r="A196" t="str">
            <v>NF562370608</v>
          </cell>
          <cell r="B196" t="str">
            <v>PCSC</v>
          </cell>
          <cell r="C196" t="str">
            <v>DLEP</v>
          </cell>
          <cell r="D196" t="str">
            <v xml:space="preserve">MINISTERE DE L'EDUCATION </v>
          </cell>
          <cell r="E196" t="str">
            <v>NF5.623.7.262.128.06.08</v>
          </cell>
        </row>
        <row r="197">
          <cell r="A197" t="str">
            <v>NF562370609</v>
          </cell>
          <cell r="B197" t="str">
            <v>PCSC</v>
          </cell>
          <cell r="C197" t="str">
            <v>DLEP</v>
          </cell>
          <cell r="D197" t="str">
            <v xml:space="preserve">MINISTERE DE L'EDUCATION </v>
          </cell>
          <cell r="E197" t="str">
            <v>NF5.623.7.262.128.06.09</v>
          </cell>
        </row>
        <row r="198">
          <cell r="A198" t="str">
            <v>NF562370610</v>
          </cell>
          <cell r="B198" t="str">
            <v>PCSC</v>
          </cell>
          <cell r="C198" t="str">
            <v>DLEP</v>
          </cell>
          <cell r="D198" t="str">
            <v xml:space="preserve">MINISTERE DE L'EDUCATION </v>
          </cell>
          <cell r="E198" t="str">
            <v>NF5.623.7.262.128.06.10</v>
          </cell>
        </row>
        <row r="199">
          <cell r="A199" t="str">
            <v>NF562370811</v>
          </cell>
          <cell r="B199" t="str">
            <v>PCSC</v>
          </cell>
          <cell r="C199" t="str">
            <v>DLEP</v>
          </cell>
          <cell r="D199" t="str">
            <v xml:space="preserve">MINISTERE DE L'EDUCATION </v>
          </cell>
          <cell r="E199" t="str">
            <v>NF5.623.7.262.128.08.11</v>
          </cell>
        </row>
        <row r="200">
          <cell r="A200" t="str">
            <v>NF562370812</v>
          </cell>
          <cell r="B200" t="str">
            <v>PCSC</v>
          </cell>
          <cell r="C200" t="str">
            <v>DLEP</v>
          </cell>
          <cell r="D200" t="str">
            <v xml:space="preserve">MINISTERE DE L'EDUCATION </v>
          </cell>
          <cell r="E200" t="str">
            <v>NF5.623.7.262.128.08.12</v>
          </cell>
        </row>
        <row r="201">
          <cell r="A201" t="str">
            <v>NF562370914</v>
          </cell>
          <cell r="B201" t="str">
            <v>PCSC</v>
          </cell>
          <cell r="C201" t="str">
            <v>DLEP</v>
          </cell>
          <cell r="D201" t="str">
            <v xml:space="preserve">MINISTERE DE L'EDUCATION </v>
          </cell>
          <cell r="E201" t="str">
            <v>NF5.623.7.262.128.09.14</v>
          </cell>
        </row>
        <row r="202">
          <cell r="A202" t="str">
            <v>NF562370915</v>
          </cell>
          <cell r="B202" t="str">
            <v>PCSC</v>
          </cell>
          <cell r="C202" t="str">
            <v>DLEP</v>
          </cell>
          <cell r="D202" t="str">
            <v xml:space="preserve">MINISTERE DE L'EDUCATION </v>
          </cell>
          <cell r="E202" t="str">
            <v>NF5.623.7.262.128.09.15</v>
          </cell>
        </row>
        <row r="203">
          <cell r="A203" t="str">
            <v>NF562480506</v>
          </cell>
          <cell r="B203" t="str">
            <v>PCSC</v>
          </cell>
          <cell r="C203" t="str">
            <v>DAS</v>
          </cell>
          <cell r="D203" t="str">
            <v xml:space="preserve">MINISTERE DE LA SOLIDARITE </v>
          </cell>
          <cell r="E203" t="str">
            <v>NF5.624.8.262.128.05.06</v>
          </cell>
        </row>
        <row r="204">
          <cell r="A204" t="str">
            <v>NF563120504</v>
          </cell>
          <cell r="B204" t="str">
            <v>PCSC</v>
          </cell>
          <cell r="C204" t="str">
            <v>DEFP</v>
          </cell>
          <cell r="D204" t="str">
            <v xml:space="preserve">MINISTERE DE LA FORMATION </v>
          </cell>
          <cell r="E204" t="str">
            <v>NF5.631.2.262.128.05.04</v>
          </cell>
        </row>
        <row r="205">
          <cell r="A205" t="str">
            <v>NF563120605</v>
          </cell>
          <cell r="B205" t="str">
            <v>PCSC</v>
          </cell>
          <cell r="C205" t="str">
            <v>DEFP</v>
          </cell>
          <cell r="D205" t="str">
            <v xml:space="preserve">MINISTERE DE LA FORMATION </v>
          </cell>
          <cell r="E205" t="str">
            <v>NF5.631.2.262.128.06.05</v>
          </cell>
        </row>
        <row r="206">
          <cell r="A206" t="str">
            <v>NF563120606</v>
          </cell>
          <cell r="B206" t="str">
            <v>PCSC</v>
          </cell>
          <cell r="C206" t="str">
            <v>DEFP</v>
          </cell>
          <cell r="D206" t="str">
            <v xml:space="preserve">MINISTERE DE LA FORMATION </v>
          </cell>
          <cell r="E206" t="str">
            <v>NF5.631.2.262.128.06.06</v>
          </cell>
        </row>
        <row r="207">
          <cell r="A207" t="str">
            <v>NF563120708</v>
          </cell>
          <cell r="B207" t="str">
            <v>PCSC</v>
          </cell>
          <cell r="C207" t="str">
            <v>DEFP</v>
          </cell>
          <cell r="D207" t="str">
            <v xml:space="preserve">MINISTERE DE LA FORMATION </v>
          </cell>
          <cell r="E207" t="str">
            <v>NF5.631.2.262.128.07.08</v>
          </cell>
        </row>
        <row r="208">
          <cell r="A208" t="str">
            <v>NF563160511</v>
          </cell>
          <cell r="B208" t="str">
            <v>PCSC</v>
          </cell>
          <cell r="C208" t="str">
            <v>DEFP</v>
          </cell>
          <cell r="D208" t="str">
            <v xml:space="preserve">MINISTERE DE LA FORMATION </v>
          </cell>
          <cell r="E208" t="str">
            <v>NF5.631.6.262.128.05.11</v>
          </cell>
        </row>
        <row r="209">
          <cell r="A209" t="str">
            <v>NF563160612</v>
          </cell>
          <cell r="B209" t="str">
            <v>PCSC</v>
          </cell>
          <cell r="C209" t="str">
            <v>DEFP</v>
          </cell>
          <cell r="D209" t="str">
            <v xml:space="preserve">MINISTERE DE LA FORMATION </v>
          </cell>
          <cell r="E209" t="str">
            <v>NF5.631.6.262.128.06.12</v>
          </cell>
        </row>
        <row r="210">
          <cell r="A210" t="str">
            <v>NF563160614</v>
          </cell>
          <cell r="B210" t="str">
            <v>PCSC</v>
          </cell>
          <cell r="C210" t="str">
            <v>DEFP</v>
          </cell>
          <cell r="D210" t="str">
            <v xml:space="preserve">MINISTERE DE LA FORMATION </v>
          </cell>
          <cell r="E210" t="str">
            <v>NF5.631.6.262.128.06.14</v>
          </cell>
        </row>
        <row r="211">
          <cell r="A211" t="str">
            <v>NF563160716</v>
          </cell>
          <cell r="B211" t="str">
            <v>PCSC</v>
          </cell>
          <cell r="C211" t="str">
            <v>DEFP</v>
          </cell>
          <cell r="D211" t="str">
            <v xml:space="preserve">MINISTERE DE LA FORMATION </v>
          </cell>
          <cell r="E211" t="str">
            <v>NF5.631.6.262.128.07.16</v>
          </cell>
        </row>
        <row r="212">
          <cell r="A212" t="str">
            <v>NF563170910</v>
          </cell>
          <cell r="B212" t="str">
            <v>PCSC</v>
          </cell>
          <cell r="C212" t="str">
            <v>DEFP</v>
          </cell>
          <cell r="D212" t="str">
            <v xml:space="preserve">MINISTERE DE LA FORMATION </v>
          </cell>
          <cell r="E212" t="str">
            <v>NF5.631.7.262.128.09.10</v>
          </cell>
        </row>
        <row r="213">
          <cell r="A213" t="str">
            <v>NF563180507</v>
          </cell>
          <cell r="B213" t="str">
            <v>PCSC</v>
          </cell>
          <cell r="C213" t="str">
            <v>DEFP</v>
          </cell>
          <cell r="D213" t="str">
            <v xml:space="preserve">MINISTERE DE LA FORMATION </v>
          </cell>
          <cell r="E213" t="str">
            <v>NF5.631.8.262.128.05.07</v>
          </cell>
        </row>
        <row r="214">
          <cell r="A214" t="str">
            <v>NF563180608</v>
          </cell>
          <cell r="B214" t="str">
            <v>PCSC</v>
          </cell>
          <cell r="C214" t="str">
            <v>DEFP</v>
          </cell>
          <cell r="D214" t="str">
            <v xml:space="preserve">MINISTERE DE LA FORMATION </v>
          </cell>
          <cell r="E214" t="str">
            <v>NF5.631.8.262.128.06.08</v>
          </cell>
        </row>
        <row r="215">
          <cell r="A215" t="str">
            <v>NF563180610</v>
          </cell>
          <cell r="B215" t="str">
            <v>PCSC</v>
          </cell>
          <cell r="C215" t="str">
            <v>DEFP</v>
          </cell>
          <cell r="D215" t="str">
            <v xml:space="preserve">MINISTERE DE LA FORMATION </v>
          </cell>
          <cell r="E215" t="str">
            <v>NF5.631.8.262.128.06.10</v>
          </cell>
        </row>
        <row r="216">
          <cell r="A216" t="str">
            <v>NF563180611</v>
          </cell>
          <cell r="B216" t="str">
            <v>PCSC</v>
          </cell>
          <cell r="C216" t="str">
            <v>DEFP</v>
          </cell>
          <cell r="D216" t="str">
            <v xml:space="preserve">MINISTERE DE LA FORMATION </v>
          </cell>
          <cell r="E216" t="str">
            <v>NF5.631.8.262.128.06.11</v>
          </cell>
        </row>
        <row r="217">
          <cell r="A217" t="str">
            <v>NF563180712</v>
          </cell>
          <cell r="B217" t="str">
            <v>PCSC</v>
          </cell>
          <cell r="C217" t="str">
            <v>DEFP</v>
          </cell>
          <cell r="D217" t="str">
            <v xml:space="preserve">MINISTERE DE LA FORMATION </v>
          </cell>
          <cell r="E217" t="str">
            <v>NF5.631.8.262.128.07.12</v>
          </cell>
        </row>
        <row r="218">
          <cell r="A218" t="str">
            <v>NF563180713</v>
          </cell>
          <cell r="B218" t="str">
            <v>PCSC</v>
          </cell>
          <cell r="C218" t="str">
            <v>DEFP</v>
          </cell>
          <cell r="D218" t="str">
            <v xml:space="preserve">MINISTERE DE LA FORMATION </v>
          </cell>
          <cell r="E218" t="str">
            <v>NF5.631.8.262.128.07.13</v>
          </cell>
        </row>
        <row r="219">
          <cell r="A219" t="str">
            <v>NF563180815</v>
          </cell>
          <cell r="B219" t="str">
            <v>PCSC</v>
          </cell>
          <cell r="C219" t="str">
            <v>DEFP</v>
          </cell>
          <cell r="D219" t="str">
            <v xml:space="preserve">MINISTERE DE LA FORMATION </v>
          </cell>
          <cell r="E219" t="str">
            <v>NF5.631.8.262.128.08.15</v>
          </cell>
        </row>
        <row r="220">
          <cell r="A220" t="str">
            <v>NF563180816</v>
          </cell>
          <cell r="B220" t="str">
            <v>PCSC</v>
          </cell>
          <cell r="C220" t="str">
            <v>DEFP</v>
          </cell>
          <cell r="D220" t="str">
            <v xml:space="preserve">MINISTERE DE LA FORMATION </v>
          </cell>
          <cell r="E220" t="str">
            <v>NF5.631.8.262.128.08.16</v>
          </cell>
        </row>
        <row r="221">
          <cell r="A221" t="str">
            <v>NF563180917</v>
          </cell>
          <cell r="B221" t="str">
            <v>PCSC</v>
          </cell>
          <cell r="C221" t="str">
            <v>DEFP</v>
          </cell>
          <cell r="D221" t="str">
            <v xml:space="preserve">MINISTERE DE LA FORMATION </v>
          </cell>
          <cell r="E221" t="str">
            <v>NF5.631.8.262.128.09.17</v>
          </cell>
        </row>
        <row r="222">
          <cell r="A222" t="str">
            <v>NF563180918</v>
          </cell>
          <cell r="B222" t="str">
            <v>PCSC</v>
          </cell>
          <cell r="C222" t="str">
            <v>DEFP</v>
          </cell>
          <cell r="D222" t="str">
            <v xml:space="preserve">MINISTERE DE LA FORMATION </v>
          </cell>
          <cell r="E222" t="str">
            <v>NF5.631.8.262.128.09.18</v>
          </cell>
        </row>
        <row r="223">
          <cell r="A223" t="str">
            <v>NF563180919</v>
          </cell>
          <cell r="B223" t="str">
            <v>PCSC</v>
          </cell>
          <cell r="C223" t="str">
            <v>DEFP</v>
          </cell>
          <cell r="D223" t="str">
            <v xml:space="preserve">MINISTERE DE LA FORMATION </v>
          </cell>
          <cell r="E223" t="str">
            <v>NF5.631.8.262.128.09.19</v>
          </cell>
        </row>
        <row r="224">
          <cell r="A224" t="str">
            <v>NF563180920</v>
          </cell>
          <cell r="B224" t="str">
            <v>PCSC</v>
          </cell>
          <cell r="C224" t="str">
            <v>DEFP</v>
          </cell>
          <cell r="D224" t="str">
            <v xml:space="preserve">MINISTERE DE LA FORMATION </v>
          </cell>
          <cell r="E224" t="str">
            <v>NF5.631.8.262.128.09.20</v>
          </cell>
        </row>
        <row r="225">
          <cell r="A225" t="str">
            <v>NF564380601</v>
          </cell>
          <cell r="B225" t="str">
            <v>PCSC</v>
          </cell>
          <cell r="C225" t="str">
            <v>DSP</v>
          </cell>
          <cell r="D225" t="str">
            <v xml:space="preserve">MINISTERE DE LA SANTE </v>
          </cell>
          <cell r="E225" t="str">
            <v>NF5.643.8.262.128.06.01</v>
          </cell>
        </row>
        <row r="226">
          <cell r="A226" t="str">
            <v>NF564380802</v>
          </cell>
          <cell r="B226" t="str">
            <v>PCSC</v>
          </cell>
          <cell r="C226" t="str">
            <v>DSP</v>
          </cell>
          <cell r="D226" t="str">
            <v xml:space="preserve">MINISTERE DE LA SANTE </v>
          </cell>
          <cell r="E226" t="str">
            <v>NF5.643.8.262.128.08.02</v>
          </cell>
        </row>
        <row r="227">
          <cell r="A227" t="str">
            <v>NF564380804</v>
          </cell>
          <cell r="B227" t="str">
            <v>PCSC</v>
          </cell>
          <cell r="C227" t="str">
            <v>DSP</v>
          </cell>
          <cell r="D227" t="str">
            <v xml:space="preserve">MINISTERE DE LA SANTE </v>
          </cell>
          <cell r="E227" t="str">
            <v>NF5.643.8.262.128.08.04</v>
          </cell>
        </row>
        <row r="228">
          <cell r="A228" t="str">
            <v>NF565130601</v>
          </cell>
          <cell r="B228" t="str">
            <v>PCSC</v>
          </cell>
          <cell r="C228" t="str">
            <v>DLEP</v>
          </cell>
          <cell r="D228" t="str">
            <v xml:space="preserve">MINISTERE DE L'INTERIEUR </v>
          </cell>
          <cell r="E228" t="str">
            <v>NF5.651.3.262.128.06.01</v>
          </cell>
        </row>
        <row r="229">
          <cell r="A229" t="str">
            <v>NF565130602</v>
          </cell>
          <cell r="B229" t="str">
            <v>PCSC</v>
          </cell>
          <cell r="C229" t="str">
            <v>DLEP</v>
          </cell>
          <cell r="D229" t="str">
            <v xml:space="preserve">MINISTERE DE L'INTERIEUR </v>
          </cell>
          <cell r="E229" t="str">
            <v>NF5.651.3.262.128.06.02</v>
          </cell>
        </row>
        <row r="230">
          <cell r="A230" t="str">
            <v>NF572110505</v>
          </cell>
          <cell r="B230" t="str">
            <v>PCSC</v>
          </cell>
          <cell r="C230" t="str">
            <v xml:space="preserve">DUC </v>
          </cell>
          <cell r="D230" t="str">
            <v xml:space="preserve">MINISTERE DE L'HABITAT ET DE L'URBANISME </v>
          </cell>
          <cell r="E230" t="str">
            <v>NF5.721.1.262.128.05.05</v>
          </cell>
        </row>
        <row r="231">
          <cell r="A231" t="str">
            <v>NF572110524</v>
          </cell>
          <cell r="B231" t="str">
            <v>PCSC</v>
          </cell>
          <cell r="C231" t="str">
            <v xml:space="preserve">DUC </v>
          </cell>
          <cell r="D231" t="str">
            <v xml:space="preserve">MINISTERE DE L'HABITAT ET DE L'URBANISME </v>
          </cell>
          <cell r="E231" t="str">
            <v>NF5.721.1.262.128.05.24</v>
          </cell>
        </row>
        <row r="232">
          <cell r="A232" t="str">
            <v>NF572110606</v>
          </cell>
          <cell r="B232" t="str">
            <v>PCSC</v>
          </cell>
          <cell r="C232" t="str">
            <v xml:space="preserve">DUC </v>
          </cell>
          <cell r="D232" t="str">
            <v xml:space="preserve">MINISTERE DE L'HABITAT ET DE L'URBANISME </v>
          </cell>
          <cell r="E232" t="str">
            <v>NF5.721.1.262.128.06.06</v>
          </cell>
        </row>
        <row r="233">
          <cell r="A233" t="str">
            <v>NF572110607</v>
          </cell>
          <cell r="B233" t="str">
            <v>PCSC</v>
          </cell>
          <cell r="C233" t="str">
            <v xml:space="preserve">DUC </v>
          </cell>
          <cell r="D233" t="str">
            <v xml:space="preserve">MINISTERE DE L'HABITAT ET DE L'URBANISME </v>
          </cell>
          <cell r="E233" t="str">
            <v>NF5.721.1.262.128.06.07</v>
          </cell>
        </row>
        <row r="234">
          <cell r="A234" t="str">
            <v>NF572110608</v>
          </cell>
          <cell r="B234" t="str">
            <v>PCSC</v>
          </cell>
          <cell r="C234" t="str">
            <v xml:space="preserve">DUC </v>
          </cell>
          <cell r="D234" t="str">
            <v xml:space="preserve">MINISTERE DE L'HABITAT ET DE L'URBANISME </v>
          </cell>
          <cell r="E234" t="str">
            <v>NF5.721.1.262.128.06.08</v>
          </cell>
        </row>
        <row r="235">
          <cell r="A235" t="str">
            <v>NF572110609</v>
          </cell>
          <cell r="B235" t="str">
            <v>PCSC</v>
          </cell>
          <cell r="C235" t="str">
            <v xml:space="preserve">DUC </v>
          </cell>
          <cell r="D235" t="str">
            <v xml:space="preserve">MINISTERE DE L'HABITAT ET DE L'URBANISME </v>
          </cell>
          <cell r="E235" t="str">
            <v>NF5.721.1.262.128.06.09</v>
          </cell>
        </row>
        <row r="236">
          <cell r="A236" t="str">
            <v>NF572110610</v>
          </cell>
          <cell r="B236" t="str">
            <v>PCSC</v>
          </cell>
          <cell r="C236" t="str">
            <v xml:space="preserve">DUC </v>
          </cell>
          <cell r="D236" t="str">
            <v xml:space="preserve">MINISTERE DE L'HABITAT ET DE L'URBANISME </v>
          </cell>
          <cell r="E236" t="str">
            <v>NF5.721.1.262.128.06.10</v>
          </cell>
        </row>
        <row r="237">
          <cell r="A237" t="str">
            <v>NF572110611</v>
          </cell>
          <cell r="B237" t="str">
            <v>PCSC</v>
          </cell>
          <cell r="C237" t="str">
            <v xml:space="preserve">DUC </v>
          </cell>
          <cell r="D237" t="str">
            <v xml:space="preserve">MINISTERE DE L'HABITAT ET DE L'URBANISME </v>
          </cell>
          <cell r="E237" t="str">
            <v>NF5.721.1.262.128.06.11</v>
          </cell>
        </row>
        <row r="238">
          <cell r="A238" t="str">
            <v>NF572110612</v>
          </cell>
          <cell r="B238" t="str">
            <v>PCSC</v>
          </cell>
          <cell r="C238" t="str">
            <v xml:space="preserve">DUC </v>
          </cell>
          <cell r="D238" t="str">
            <v xml:space="preserve">MINISTERE DE L'HABITAT ET DE L'URBANISME </v>
          </cell>
          <cell r="E238" t="str">
            <v>NF5.721.1.262.128.06.12</v>
          </cell>
        </row>
        <row r="239">
          <cell r="A239" t="str">
            <v>NF572110613</v>
          </cell>
          <cell r="B239" t="str">
            <v>PCSC</v>
          </cell>
          <cell r="C239" t="str">
            <v xml:space="preserve">DUC </v>
          </cell>
          <cell r="D239" t="str">
            <v xml:space="preserve">MINISTERE DE L'HABITAT ET DE L'URBANISME </v>
          </cell>
          <cell r="E239" t="str">
            <v>NF5.721.1.262.128.06.13</v>
          </cell>
        </row>
        <row r="240">
          <cell r="A240" t="str">
            <v>NF572110614</v>
          </cell>
          <cell r="B240" t="str">
            <v>PCSC</v>
          </cell>
          <cell r="C240" t="str">
            <v xml:space="preserve">DUC </v>
          </cell>
          <cell r="D240" t="str">
            <v xml:space="preserve">MINISTERE DE L'HABITAT ET DE L'URBANISME </v>
          </cell>
          <cell r="E240" t="str">
            <v>NF5.721.1.262.128.06.14</v>
          </cell>
        </row>
        <row r="241">
          <cell r="A241" t="str">
            <v>NF572110615</v>
          </cell>
          <cell r="B241" t="str">
            <v>PCSC</v>
          </cell>
          <cell r="C241" t="str">
            <v xml:space="preserve">DUC </v>
          </cell>
          <cell r="D241" t="str">
            <v xml:space="preserve">MINISTERE DE L'HABITAT ET DE L'URBANISME </v>
          </cell>
          <cell r="E241" t="str">
            <v>NF5.721.1.262.128.06.15</v>
          </cell>
        </row>
        <row r="242">
          <cell r="A242" t="str">
            <v>NF572110616</v>
          </cell>
          <cell r="B242" t="str">
            <v>PCSC</v>
          </cell>
          <cell r="C242" t="str">
            <v xml:space="preserve">DUC </v>
          </cell>
          <cell r="D242" t="str">
            <v xml:space="preserve">MINISTERE DE L'HABITAT ET DE L'URBANISME </v>
          </cell>
          <cell r="E242" t="str">
            <v>NF5.721.1.262.128.06.16</v>
          </cell>
        </row>
        <row r="243">
          <cell r="A243" t="str">
            <v>NF572110618</v>
          </cell>
          <cell r="B243" t="str">
            <v>PCSC</v>
          </cell>
          <cell r="C243" t="str">
            <v xml:space="preserve">DUC </v>
          </cell>
          <cell r="D243" t="str">
            <v xml:space="preserve">MINISTERE DE L'HABITAT ET DE L'URBANISME </v>
          </cell>
          <cell r="E243" t="str">
            <v>NF5.721.1.262.128.06.18</v>
          </cell>
        </row>
        <row r="244">
          <cell r="A244" t="str">
            <v>NF572110620</v>
          </cell>
          <cell r="B244" t="str">
            <v>PCSC</v>
          </cell>
          <cell r="C244" t="str">
            <v xml:space="preserve">DUC </v>
          </cell>
          <cell r="D244" t="str">
            <v xml:space="preserve">MINISTERE DE L'HABITAT ET DE L'URBANISME </v>
          </cell>
          <cell r="E244" t="str">
            <v>NF5.721.1.262.128.06.20</v>
          </cell>
        </row>
        <row r="245">
          <cell r="A245" t="str">
            <v>NF572110621</v>
          </cell>
          <cell r="B245" t="str">
            <v>PCSC</v>
          </cell>
          <cell r="C245" t="str">
            <v xml:space="preserve">DUC </v>
          </cell>
          <cell r="D245" t="str">
            <v xml:space="preserve">MINISTERE DE L'HABITAT ET DE L'URBANISME </v>
          </cell>
          <cell r="E245" t="str">
            <v>NF5.721.1.262.128.06.21</v>
          </cell>
        </row>
        <row r="246">
          <cell r="A246" t="str">
            <v>NF572110622</v>
          </cell>
          <cell r="B246" t="str">
            <v>PCSC</v>
          </cell>
          <cell r="C246" t="str">
            <v xml:space="preserve">DUC </v>
          </cell>
          <cell r="D246" t="str">
            <v xml:space="preserve">MINISTERE DE L'HABITAT ET DE L'URBANISME </v>
          </cell>
          <cell r="E246" t="str">
            <v>NF5.721.1.262.128.06.22</v>
          </cell>
        </row>
        <row r="247">
          <cell r="A247" t="str">
            <v>NF572110623</v>
          </cell>
          <cell r="B247" t="str">
            <v>PCSC</v>
          </cell>
          <cell r="C247" t="str">
            <v xml:space="preserve">DUC </v>
          </cell>
          <cell r="D247" t="str">
            <v xml:space="preserve">MINISTERE DE L'HABITAT ET DE L'URBANISME </v>
          </cell>
          <cell r="E247" t="str">
            <v>NF5.721.1.262.128.06.23</v>
          </cell>
        </row>
        <row r="248">
          <cell r="A248" t="str">
            <v>NF572110626</v>
          </cell>
          <cell r="B248" t="str">
            <v>PCSC</v>
          </cell>
          <cell r="C248" t="str">
            <v xml:space="preserve">DUC </v>
          </cell>
          <cell r="D248" t="str">
            <v xml:space="preserve">MINISTERE DE L'HABITAT ET DE L'URBANISME </v>
          </cell>
          <cell r="E248" t="str">
            <v>NF5.721.1.262.128.06.26</v>
          </cell>
        </row>
        <row r="249">
          <cell r="A249" t="str">
            <v>NF572110627</v>
          </cell>
          <cell r="B249" t="str">
            <v>PCSC</v>
          </cell>
          <cell r="C249" t="str">
            <v xml:space="preserve">DUC </v>
          </cell>
          <cell r="D249" t="str">
            <v xml:space="preserve">MINISTERE DE L'HABITAT ET DE L'URBANISME </v>
          </cell>
          <cell r="E249" t="str">
            <v>NF5.721.1.262.128.06.27</v>
          </cell>
        </row>
        <row r="250">
          <cell r="A250" t="str">
            <v>NF572110628</v>
          </cell>
          <cell r="B250" t="str">
            <v>PCSC</v>
          </cell>
          <cell r="C250" t="str">
            <v xml:space="preserve">DUC </v>
          </cell>
          <cell r="D250" t="str">
            <v xml:space="preserve">MINISTERE DE L'HABITAT ET DE L'URBANISME </v>
          </cell>
          <cell r="E250" t="str">
            <v>NF5.721.1.262.128.06.28</v>
          </cell>
        </row>
        <row r="251">
          <cell r="A251" t="str">
            <v>NF572110629</v>
          </cell>
          <cell r="B251" t="str">
            <v>PCSC</v>
          </cell>
          <cell r="C251" t="str">
            <v xml:space="preserve">DUC </v>
          </cell>
          <cell r="D251" t="str">
            <v xml:space="preserve">MINISTERE DE L'HABITAT ET DE L'URBANISME </v>
          </cell>
          <cell r="E251" t="str">
            <v>NF5.721.1.262.128.06.29</v>
          </cell>
        </row>
        <row r="252">
          <cell r="A252" t="str">
            <v>NF572110630</v>
          </cell>
          <cell r="B252" t="str">
            <v>PCSC</v>
          </cell>
          <cell r="C252" t="str">
            <v xml:space="preserve">DUC </v>
          </cell>
          <cell r="D252" t="str">
            <v xml:space="preserve">MINISTERE DE L'HABITAT ET DE L'URBANISME </v>
          </cell>
          <cell r="E252" t="str">
            <v>NF5.721.1.262.128.06.30</v>
          </cell>
        </row>
        <row r="253">
          <cell r="A253" t="str">
            <v>NF572110631</v>
          </cell>
          <cell r="B253" t="str">
            <v>PCSC</v>
          </cell>
          <cell r="C253" t="str">
            <v xml:space="preserve">DUC </v>
          </cell>
          <cell r="D253" t="str">
            <v xml:space="preserve">MINISTERE DE L'HABITAT ET DE L'URBANISME </v>
          </cell>
          <cell r="E253" t="str">
            <v>NF5.721.1.262.128.06.31</v>
          </cell>
        </row>
        <row r="254">
          <cell r="A254" t="str">
            <v>NF572110632</v>
          </cell>
          <cell r="B254" t="str">
            <v>PCSC</v>
          </cell>
          <cell r="C254" t="str">
            <v xml:space="preserve">DUC </v>
          </cell>
          <cell r="D254" t="str">
            <v xml:space="preserve">MINISTERE DE L'HABITAT ET DE L'URBANISME </v>
          </cell>
          <cell r="E254" t="str">
            <v>NF5.721.1.262.128.06.32</v>
          </cell>
        </row>
        <row r="255">
          <cell r="A255" t="str">
            <v>NF572110633</v>
          </cell>
          <cell r="B255" t="str">
            <v>PCSC</v>
          </cell>
          <cell r="C255" t="str">
            <v xml:space="preserve">DUC </v>
          </cell>
          <cell r="D255" t="str">
            <v xml:space="preserve">MINISTERE DE L'HABITAT ET DE L'URBANISME </v>
          </cell>
          <cell r="E255" t="str">
            <v>NF5.721.1.262.128.06.33</v>
          </cell>
        </row>
        <row r="256">
          <cell r="A256" t="str">
            <v>NF572110634</v>
          </cell>
          <cell r="B256" t="str">
            <v>PCSC</v>
          </cell>
          <cell r="C256" t="str">
            <v xml:space="preserve">DUC </v>
          </cell>
          <cell r="D256" t="str">
            <v xml:space="preserve">MINISTERE DE L'HABITAT ET DE L'URBANISME </v>
          </cell>
          <cell r="E256" t="str">
            <v>NF5.721.1.262.128.06.34</v>
          </cell>
        </row>
        <row r="257">
          <cell r="A257" t="str">
            <v>NF572110635</v>
          </cell>
          <cell r="B257" t="str">
            <v>PCSC</v>
          </cell>
          <cell r="C257" t="str">
            <v xml:space="preserve">DUC </v>
          </cell>
          <cell r="D257" t="str">
            <v xml:space="preserve">MINISTERE DE L'HABITAT ET DE L'URBANISME </v>
          </cell>
          <cell r="E257" t="str">
            <v>NF5.721.1.262.128.06.35</v>
          </cell>
        </row>
        <row r="258">
          <cell r="A258" t="str">
            <v>NF572110636</v>
          </cell>
          <cell r="B258" t="str">
            <v>PCSC</v>
          </cell>
          <cell r="C258" t="str">
            <v xml:space="preserve">DUC </v>
          </cell>
          <cell r="D258" t="str">
            <v xml:space="preserve">MINISTERE DE L'HABITAT ET DE L'URBANISME </v>
          </cell>
          <cell r="E258" t="str">
            <v>NF5.721.1.262.128.06.36</v>
          </cell>
        </row>
        <row r="259">
          <cell r="A259" t="str">
            <v>NF572110637</v>
          </cell>
          <cell r="B259" t="str">
            <v>PCSC</v>
          </cell>
          <cell r="C259" t="str">
            <v xml:space="preserve">DUC </v>
          </cell>
          <cell r="D259" t="str">
            <v xml:space="preserve">MINISTERE DE L'HABITAT ET DE L'URBANISME </v>
          </cell>
          <cell r="E259" t="str">
            <v>NF5.721.1.262.128.06.37</v>
          </cell>
        </row>
        <row r="260">
          <cell r="A260" t="str">
            <v>NF572110638</v>
          </cell>
          <cell r="B260" t="str">
            <v>PCSC</v>
          </cell>
          <cell r="C260" t="str">
            <v xml:space="preserve">DUC </v>
          </cell>
          <cell r="D260" t="str">
            <v xml:space="preserve">MINISTERE DE L'HABITAT ET DE L'URBANISME </v>
          </cell>
          <cell r="E260" t="str">
            <v>NF5.721.1.262.128.06.38</v>
          </cell>
        </row>
        <row r="261">
          <cell r="A261" t="str">
            <v>NF572110639</v>
          </cell>
          <cell r="B261" t="str">
            <v>PCSC</v>
          </cell>
          <cell r="C261" t="str">
            <v xml:space="preserve">DUC </v>
          </cell>
          <cell r="D261" t="str">
            <v xml:space="preserve">MINISTERE DE L'HABITAT ET DE L'URBANISME </v>
          </cell>
          <cell r="E261" t="str">
            <v>NF5.721.1.262.128.06.39</v>
          </cell>
        </row>
        <row r="262">
          <cell r="A262" t="str">
            <v>NF572110640</v>
          </cell>
          <cell r="B262" t="str">
            <v>PCSC</v>
          </cell>
          <cell r="C262" t="str">
            <v xml:space="preserve">DUC </v>
          </cell>
          <cell r="D262" t="str">
            <v xml:space="preserve">MINISTERE DE L'HABITAT ET DE L'URBANISME </v>
          </cell>
          <cell r="E262" t="str">
            <v>NF5.721.1.262.128.06.40</v>
          </cell>
        </row>
        <row r="263">
          <cell r="A263" t="str">
            <v>NF572110641</v>
          </cell>
          <cell r="B263" t="str">
            <v>PCSC</v>
          </cell>
          <cell r="C263" t="str">
            <v xml:space="preserve">DUC </v>
          </cell>
          <cell r="D263" t="str">
            <v xml:space="preserve">MINISTERE DE L'HABITAT ET DE L'URBANISME </v>
          </cell>
          <cell r="E263" t="str">
            <v>NF5.721.1.262.128.06.41</v>
          </cell>
        </row>
        <row r="264">
          <cell r="A264" t="str">
            <v>NF572110642</v>
          </cell>
          <cell r="B264" t="str">
            <v>PCSC</v>
          </cell>
          <cell r="C264" t="str">
            <v xml:space="preserve">DUC </v>
          </cell>
          <cell r="D264" t="str">
            <v xml:space="preserve">MINISTERE DE L'HABITAT ET DE L'URBANISME </v>
          </cell>
          <cell r="E264" t="str">
            <v>NF5.721.1.262.128.06.42</v>
          </cell>
        </row>
        <row r="265">
          <cell r="A265" t="str">
            <v>NF572110650</v>
          </cell>
          <cell r="B265" t="str">
            <v>PCSC</v>
          </cell>
          <cell r="C265" t="str">
            <v xml:space="preserve">DUC </v>
          </cell>
          <cell r="D265" t="str">
            <v xml:space="preserve">MINISTERE DE L'HABITAT ET DE L'URBANISME </v>
          </cell>
          <cell r="E265" t="str">
            <v>NF5.721.1.262.128.06.50</v>
          </cell>
        </row>
        <row r="266">
          <cell r="A266" t="str">
            <v>NF572110651</v>
          </cell>
          <cell r="B266" t="str">
            <v>PCSC</v>
          </cell>
          <cell r="C266" t="str">
            <v xml:space="preserve">DUC </v>
          </cell>
          <cell r="D266" t="str">
            <v xml:space="preserve">MINISTERE DE L'HABITAT ET DE L'URBANISME </v>
          </cell>
          <cell r="E266" t="str">
            <v>NF5.721.1.262.128.06.51</v>
          </cell>
        </row>
        <row r="267">
          <cell r="A267" t="str">
            <v>NF572110725</v>
          </cell>
          <cell r="B267" t="str">
            <v>PCSC</v>
          </cell>
          <cell r="C267" t="str">
            <v xml:space="preserve">DUC </v>
          </cell>
          <cell r="D267" t="str">
            <v xml:space="preserve">MINISTERE DE L'HABITAT ET DE L'URBANISME </v>
          </cell>
          <cell r="E267" t="str">
            <v>NF5.721.1.262.128.07.25</v>
          </cell>
        </row>
        <row r="268">
          <cell r="A268" t="str">
            <v>NF572110843</v>
          </cell>
          <cell r="B268" t="str">
            <v>PCSC</v>
          </cell>
          <cell r="C268" t="str">
            <v xml:space="preserve">DUC </v>
          </cell>
          <cell r="D268" t="str">
            <v xml:space="preserve">MINISTERE DE L'HABITAT ET DE L'URBANISME </v>
          </cell>
          <cell r="E268" t="str">
            <v>NF5.721.1.262.128.08.43</v>
          </cell>
        </row>
        <row r="269">
          <cell r="A269" t="str">
            <v>NF572110844</v>
          </cell>
          <cell r="B269" t="str">
            <v>PCSC</v>
          </cell>
          <cell r="C269" t="str">
            <v xml:space="preserve">DUC </v>
          </cell>
          <cell r="D269" t="str">
            <v xml:space="preserve">MINISTERE DE L'HABITAT ET DE L'URBANISME </v>
          </cell>
          <cell r="E269" t="str">
            <v>NF5.721.1.262.128.08.44</v>
          </cell>
        </row>
        <row r="270">
          <cell r="A270" t="str">
            <v>NF572110845</v>
          </cell>
          <cell r="B270" t="str">
            <v>PCSC</v>
          </cell>
          <cell r="C270" t="str">
            <v xml:space="preserve">DUC </v>
          </cell>
          <cell r="D270" t="str">
            <v xml:space="preserve">MINISTERE DE L'HABITAT ET DE L'URBANISME </v>
          </cell>
          <cell r="E270" t="str">
            <v>NF5.721.1.262.128.08.45</v>
          </cell>
        </row>
        <row r="271">
          <cell r="A271" t="str">
            <v>NF572110846</v>
          </cell>
          <cell r="B271" t="str">
            <v>PCSC</v>
          </cell>
          <cell r="C271" t="str">
            <v xml:space="preserve">DUC </v>
          </cell>
          <cell r="D271" t="str">
            <v xml:space="preserve">MINISTERE DE L'HABITAT ET DE L'URBANISME </v>
          </cell>
          <cell r="E271" t="str">
            <v>NF5.721.1.262.128.08.46</v>
          </cell>
        </row>
        <row r="272">
          <cell r="A272" t="str">
            <v>NF572110847</v>
          </cell>
          <cell r="B272" t="str">
            <v>PCSC</v>
          </cell>
          <cell r="C272" t="str">
            <v xml:space="preserve">DUC </v>
          </cell>
          <cell r="D272" t="str">
            <v xml:space="preserve">MINISTERE DE L'HABITAT ET DE L'URBANISME </v>
          </cell>
          <cell r="E272" t="str">
            <v>NF5.721.1.262.128.08.47</v>
          </cell>
        </row>
        <row r="273">
          <cell r="A273" t="str">
            <v>NF572110848</v>
          </cell>
          <cell r="B273" t="str">
            <v>PCSC</v>
          </cell>
          <cell r="C273" t="str">
            <v xml:space="preserve">DUC </v>
          </cell>
          <cell r="D273" t="str">
            <v xml:space="preserve">MINISTERE DE L'HABITAT ET DE L'URBANISME </v>
          </cell>
          <cell r="E273" t="str">
            <v>NF5.721.1.262.128.08.48</v>
          </cell>
        </row>
        <row r="274">
          <cell r="A274" t="str">
            <v>NF572110849</v>
          </cell>
          <cell r="B274" t="str">
            <v>PCSC</v>
          </cell>
          <cell r="C274" t="str">
            <v xml:space="preserve">DUC </v>
          </cell>
          <cell r="D274" t="str">
            <v xml:space="preserve">MINISTERE DE L'HABITAT ET DE L'URBANISME </v>
          </cell>
          <cell r="E274" t="str">
            <v>NF5.721.1.262.128.08.49</v>
          </cell>
        </row>
        <row r="275">
          <cell r="A275" t="str">
            <v>NF572110952</v>
          </cell>
          <cell r="B275" t="str">
            <v>PCSC</v>
          </cell>
          <cell r="C275" t="str">
            <v xml:space="preserve">DUC </v>
          </cell>
          <cell r="D275" t="str">
            <v xml:space="preserve">MINISTERE DE L'HABITAT ET DE L'URBANISME </v>
          </cell>
          <cell r="E275" t="str">
            <v>NF5.721.1.262.128.09.52</v>
          </cell>
        </row>
        <row r="276">
          <cell r="A276" t="str">
            <v>NF572110953</v>
          </cell>
          <cell r="B276" t="str">
            <v>PCSC</v>
          </cell>
          <cell r="C276" t="str">
            <v xml:space="preserve">DUC </v>
          </cell>
          <cell r="D276" t="str">
            <v xml:space="preserve">MINISTERE DE L'HABITAT ET DE L'URBANISME </v>
          </cell>
          <cell r="E276" t="str">
            <v>NF5.721.1.262.128.09.53</v>
          </cell>
        </row>
        <row r="277">
          <cell r="A277" t="str">
            <v>NF572110954</v>
          </cell>
          <cell r="B277" t="str">
            <v>PCSC</v>
          </cell>
          <cell r="C277" t="str">
            <v xml:space="preserve">DUC </v>
          </cell>
          <cell r="D277" t="str">
            <v xml:space="preserve">MINISTERE DE L'HABITAT ET DE L'URBANISME </v>
          </cell>
          <cell r="E277" t="str">
            <v>NF5.721.1.262.128.09.54</v>
          </cell>
        </row>
        <row r="278">
          <cell r="A278" t="str">
            <v>NF572110955</v>
          </cell>
          <cell r="B278" t="str">
            <v>PCSC</v>
          </cell>
          <cell r="C278" t="str">
            <v xml:space="preserve">DUC </v>
          </cell>
          <cell r="D278" t="str">
            <v xml:space="preserve">MINISTERE DE L'HABITAT ET DE L'URBANISME </v>
          </cell>
          <cell r="E278" t="str">
            <v>NF5.721.1.262.128.09.55</v>
          </cell>
        </row>
        <row r="279">
          <cell r="A279" t="str">
            <v>NF572110956</v>
          </cell>
          <cell r="B279" t="str">
            <v>PCSC</v>
          </cell>
          <cell r="C279" t="str">
            <v xml:space="preserve">DUC </v>
          </cell>
          <cell r="D279" t="str">
            <v xml:space="preserve">MINISTERE DE L'HABITAT ET DE L'URBANISME </v>
          </cell>
          <cell r="E279" t="str">
            <v>NF5.721.1.262.128.09.56</v>
          </cell>
        </row>
        <row r="280">
          <cell r="A280" t="str">
            <v>NF572110959</v>
          </cell>
          <cell r="B280" t="str">
            <v>PCSC</v>
          </cell>
          <cell r="C280" t="str">
            <v xml:space="preserve">DUC </v>
          </cell>
          <cell r="D280" t="str">
            <v xml:space="preserve">MINISTERE DE L'HABITAT ET DE L'URBANISME </v>
          </cell>
          <cell r="E280" t="str">
            <v>NF5.721.1.262.128.09.59</v>
          </cell>
        </row>
        <row r="281">
          <cell r="A281" t="str">
            <v>NF572220614</v>
          </cell>
          <cell r="B281" t="str">
            <v>PCSC</v>
          </cell>
          <cell r="C281" t="str">
            <v>DLEP</v>
          </cell>
          <cell r="D281" t="str">
            <v xml:space="preserve">MINISTERE DE L'HABITAT ET DE L'URBANISME </v>
          </cell>
          <cell r="E281" t="str">
            <v>NF5.722.2.262.128.06.14</v>
          </cell>
        </row>
        <row r="282">
          <cell r="A282" t="str">
            <v>NF572220712</v>
          </cell>
          <cell r="B282" t="str">
            <v>PCSC</v>
          </cell>
          <cell r="C282" t="str">
            <v>DLEP</v>
          </cell>
          <cell r="D282" t="str">
            <v xml:space="preserve">MINISTERE DE L'HABITAT ET DE L'URBANISME </v>
          </cell>
          <cell r="E282" t="str">
            <v>NF5.722.2.262.128.07.12</v>
          </cell>
        </row>
        <row r="283">
          <cell r="A283" t="str">
            <v>NF572220811</v>
          </cell>
          <cell r="B283" t="str">
            <v>PCSC</v>
          </cell>
          <cell r="C283" t="str">
            <v>DEFP</v>
          </cell>
          <cell r="D283" t="str">
            <v xml:space="preserve">MINISTERE DE L'HABITAT ET DE L'URBANISME </v>
          </cell>
          <cell r="E283" t="str">
            <v>NF5.722.2.262.128.08.11</v>
          </cell>
        </row>
        <row r="284">
          <cell r="A284" t="str">
            <v>NF572220813</v>
          </cell>
          <cell r="B284" t="str">
            <v>PCSC</v>
          </cell>
          <cell r="C284" t="str">
            <v>DLEP</v>
          </cell>
          <cell r="D284" t="str">
            <v xml:space="preserve">MINISTERE DE L'HABITAT ET DE L'URBANISME </v>
          </cell>
          <cell r="E284" t="str">
            <v>NF5.722.2.262.128.08.13</v>
          </cell>
        </row>
        <row r="285">
          <cell r="A285" t="str">
            <v>NF572220915</v>
          </cell>
          <cell r="B285" t="str">
            <v>PCSC</v>
          </cell>
          <cell r="C285" t="str">
            <v>DEFP</v>
          </cell>
          <cell r="D285" t="str">
            <v xml:space="preserve">MINISTERE DE L'HABITAT ET DE L'URBANISME </v>
          </cell>
          <cell r="E285" t="str">
            <v>NF5.722.2.262.128.09.15</v>
          </cell>
        </row>
        <row r="286">
          <cell r="A286" t="str">
            <v>NF572410501</v>
          </cell>
          <cell r="B286" t="str">
            <v>PCSC</v>
          </cell>
          <cell r="C286" t="str">
            <v xml:space="preserve">DUC </v>
          </cell>
          <cell r="D286" t="str">
            <v xml:space="preserve">MINISTERE DE L'HABITAT ET DE L'URBANISME </v>
          </cell>
          <cell r="E286" t="str">
            <v>NF5.724.1.262.128.05.01</v>
          </cell>
        </row>
        <row r="287">
          <cell r="A287" t="str">
            <v>NF572410602</v>
          </cell>
          <cell r="B287" t="str">
            <v>PCSC</v>
          </cell>
          <cell r="C287" t="str">
            <v xml:space="preserve">DUC </v>
          </cell>
          <cell r="D287" t="str">
            <v xml:space="preserve">MINISTERE DE L'HABITAT ET DE L'URBANISME </v>
          </cell>
          <cell r="E287" t="str">
            <v>NF5.724.1.262.128.06.02</v>
          </cell>
        </row>
        <row r="288">
          <cell r="A288" t="str">
            <v>NF572410603</v>
          </cell>
          <cell r="B288" t="str">
            <v>PCSC</v>
          </cell>
          <cell r="C288" t="str">
            <v xml:space="preserve">DUC </v>
          </cell>
          <cell r="D288" t="str">
            <v xml:space="preserve">MINISTERE DE L'HABITAT ET DE L'URBANISME </v>
          </cell>
          <cell r="E288" t="str">
            <v>NF5.724.1.262.128.06.03</v>
          </cell>
        </row>
        <row r="289">
          <cell r="A289" t="str">
            <v>NF573110609</v>
          </cell>
          <cell r="B289" t="str">
            <v>PCSC</v>
          </cell>
          <cell r="C289" t="str">
            <v>DSP</v>
          </cell>
          <cell r="D289" t="str">
            <v xml:space="preserve">MINISTERE DE LA SANTE </v>
          </cell>
          <cell r="E289" t="str">
            <v>NF5.731.1.262.128.06.09</v>
          </cell>
        </row>
        <row r="290">
          <cell r="A290" t="str">
            <v>NF573130515</v>
          </cell>
          <cell r="B290" t="str">
            <v>PCSC</v>
          </cell>
          <cell r="C290" t="str">
            <v>DSP</v>
          </cell>
          <cell r="D290" t="str">
            <v xml:space="preserve">MINISTERE DE LA SANTE </v>
          </cell>
          <cell r="E290" t="str">
            <v>NF5.731.3.262.128.05.15</v>
          </cell>
        </row>
        <row r="291">
          <cell r="A291" t="str">
            <v>NF573130616</v>
          </cell>
          <cell r="B291" t="str">
            <v>PCSC</v>
          </cell>
          <cell r="C291" t="str">
            <v>DSP</v>
          </cell>
          <cell r="D291" t="str">
            <v xml:space="preserve">MINISTERE DE LA SANTE </v>
          </cell>
          <cell r="E291" t="str">
            <v>NF5.731.3.262.128.06.16</v>
          </cell>
        </row>
        <row r="292">
          <cell r="A292" t="str">
            <v>NF573130617</v>
          </cell>
          <cell r="B292" t="str">
            <v>PCSC</v>
          </cell>
          <cell r="C292" t="str">
            <v>DSP</v>
          </cell>
          <cell r="D292" t="str">
            <v xml:space="preserve">MINISTERE DE LA SANTE </v>
          </cell>
          <cell r="E292" t="str">
            <v>NF5.731.3.262.128.06.17</v>
          </cell>
        </row>
        <row r="293">
          <cell r="A293" t="str">
            <v>NF573130618</v>
          </cell>
          <cell r="B293" t="str">
            <v>PCSC</v>
          </cell>
          <cell r="C293" t="str">
            <v>DSP</v>
          </cell>
          <cell r="D293" t="str">
            <v xml:space="preserve">MINISTERE DE LA SANTE </v>
          </cell>
          <cell r="E293" t="str">
            <v>NF5.731.3.262.128.06.18</v>
          </cell>
        </row>
        <row r="294">
          <cell r="A294" t="str">
            <v>NF573130621</v>
          </cell>
          <cell r="B294" t="str">
            <v>PCSC</v>
          </cell>
          <cell r="C294" t="str">
            <v>DSP</v>
          </cell>
          <cell r="D294" t="str">
            <v xml:space="preserve">MINISTERE DE LA SANTE </v>
          </cell>
          <cell r="E294" t="str">
            <v>NF5.731.3.262.128.06.21</v>
          </cell>
        </row>
        <row r="295">
          <cell r="A295" t="str">
            <v>NF573130922</v>
          </cell>
          <cell r="B295" t="str">
            <v>PCSC</v>
          </cell>
          <cell r="C295" t="str">
            <v>DSP</v>
          </cell>
          <cell r="D295" t="str">
            <v xml:space="preserve">MINISTERE DE LA SANTE </v>
          </cell>
          <cell r="E295" t="str">
            <v>NF5.731.3.262.128.09.22</v>
          </cell>
        </row>
        <row r="296">
          <cell r="A296" t="str">
            <v>NF573130923</v>
          </cell>
          <cell r="B296" t="str">
            <v>PCSC</v>
          </cell>
          <cell r="C296" t="str">
            <v>DSP</v>
          </cell>
          <cell r="D296" t="str">
            <v xml:space="preserve">MINISTERE DE LA SANTE </v>
          </cell>
          <cell r="E296" t="str">
            <v>NF5.731.3.262.128.09.23</v>
          </cell>
        </row>
        <row r="297">
          <cell r="A297" t="str">
            <v>NF573130924</v>
          </cell>
          <cell r="B297" t="str">
            <v>PCSC</v>
          </cell>
          <cell r="C297" t="str">
            <v>DSP</v>
          </cell>
          <cell r="D297" t="str">
            <v xml:space="preserve">MINISTERE DE LA SANTE </v>
          </cell>
          <cell r="E297" t="str">
            <v>NF5.731.3.262.128.09.24</v>
          </cell>
        </row>
        <row r="298">
          <cell r="A298" t="str">
            <v>NF573180608</v>
          </cell>
          <cell r="B298" t="str">
            <v>PCSC</v>
          </cell>
          <cell r="C298" t="str">
            <v>DSP</v>
          </cell>
          <cell r="D298" t="str">
            <v xml:space="preserve">MINISTERE DE LA SANTE </v>
          </cell>
          <cell r="E298" t="str">
            <v>NF5.731.8.262.128.06.08</v>
          </cell>
        </row>
        <row r="299">
          <cell r="A299" t="str">
            <v>NF573180612</v>
          </cell>
          <cell r="B299" t="str">
            <v>PCSC</v>
          </cell>
          <cell r="C299" t="str">
            <v>DSP</v>
          </cell>
          <cell r="D299" t="str">
            <v xml:space="preserve">MINISTERE DE LA SANTE </v>
          </cell>
          <cell r="E299" t="str">
            <v>NF5.731.8.262.128.06.12</v>
          </cell>
        </row>
        <row r="300">
          <cell r="A300" t="str">
            <v>NF573210601</v>
          </cell>
          <cell r="B300" t="str">
            <v>PCSC</v>
          </cell>
          <cell r="C300" t="str">
            <v>DSP</v>
          </cell>
          <cell r="D300" t="str">
            <v xml:space="preserve">MINISTERE DE LA SANTE </v>
          </cell>
          <cell r="E300" t="str">
            <v>NF5.732.1.262.128.06.01</v>
          </cell>
        </row>
        <row r="301">
          <cell r="A301" t="str">
            <v>NF573320504</v>
          </cell>
          <cell r="B301" t="str">
            <v>PCSC</v>
          </cell>
          <cell r="C301" t="str">
            <v>DSP</v>
          </cell>
          <cell r="D301" t="str">
            <v xml:space="preserve">MINISTERE DE LA SANTE </v>
          </cell>
          <cell r="E301" t="str">
            <v>NF5.733.2.262.128.05.04</v>
          </cell>
        </row>
        <row r="302">
          <cell r="A302" t="str">
            <v>NF573320605</v>
          </cell>
          <cell r="B302" t="str">
            <v>PCSC</v>
          </cell>
          <cell r="C302" t="str">
            <v>DSP</v>
          </cell>
          <cell r="D302" t="str">
            <v xml:space="preserve">MINISTERE DE LA SANTE </v>
          </cell>
          <cell r="E302" t="str">
            <v>NF5.733.2.262.128.06.05</v>
          </cell>
        </row>
        <row r="303">
          <cell r="A303" t="str">
            <v>NF573320606</v>
          </cell>
          <cell r="B303" t="str">
            <v>PCSC</v>
          </cell>
          <cell r="C303" t="str">
            <v>DSP</v>
          </cell>
          <cell r="D303" t="str">
            <v xml:space="preserve">MINISTERE DE LA SANTE </v>
          </cell>
          <cell r="E303" t="str">
            <v>NF5.733.2.262.128.06.06</v>
          </cell>
        </row>
        <row r="304">
          <cell r="A304" t="str">
            <v>NF573320615</v>
          </cell>
          <cell r="B304" t="str">
            <v>PCSC</v>
          </cell>
          <cell r="C304" t="str">
            <v>DSP</v>
          </cell>
          <cell r="D304" t="str">
            <v xml:space="preserve">MINISTERE DE LA SANTE </v>
          </cell>
          <cell r="E304" t="str">
            <v>NF5.733.2.262.128.06.15</v>
          </cell>
        </row>
        <row r="305">
          <cell r="A305" t="str">
            <v>NF573340804</v>
          </cell>
          <cell r="B305" t="str">
            <v>PCSC</v>
          </cell>
          <cell r="C305" t="str">
            <v>DSP</v>
          </cell>
          <cell r="D305" t="str">
            <v xml:space="preserve">MINISTERE DE LA SANTE </v>
          </cell>
          <cell r="E305" t="str">
            <v>NF5.733.4.262.128.08.04</v>
          </cell>
        </row>
        <row r="306">
          <cell r="A306" t="str">
            <v>NF573350601</v>
          </cell>
          <cell r="B306" t="str">
            <v>PCSC</v>
          </cell>
          <cell r="C306" t="str">
            <v>DSP</v>
          </cell>
          <cell r="D306" t="str">
            <v xml:space="preserve">MINISTERE DE LA SANTE </v>
          </cell>
          <cell r="E306" t="str">
            <v>NF5.733.5.262.128.06.01</v>
          </cell>
        </row>
        <row r="307">
          <cell r="A307" t="str">
            <v>NF573360604</v>
          </cell>
          <cell r="B307" t="str">
            <v>PCSC</v>
          </cell>
          <cell r="C307" t="str">
            <v>DSP</v>
          </cell>
          <cell r="D307" t="str">
            <v xml:space="preserve">MINISTERE DE LA SANTE </v>
          </cell>
          <cell r="E307" t="str">
            <v>NF5.733.6.262.128.06.04</v>
          </cell>
        </row>
        <row r="308">
          <cell r="A308" t="str">
            <v>NF573360605</v>
          </cell>
          <cell r="B308" t="str">
            <v>PCSC</v>
          </cell>
          <cell r="C308" t="str">
            <v>DSP</v>
          </cell>
          <cell r="D308" t="str">
            <v xml:space="preserve">MINISTERE DE LA SANTE </v>
          </cell>
          <cell r="E308" t="str">
            <v>NF5.733.6.262.128.06.05</v>
          </cell>
        </row>
        <row r="309">
          <cell r="A309" t="str">
            <v>NF573380506</v>
          </cell>
          <cell r="B309" t="str">
            <v>PCSC</v>
          </cell>
          <cell r="C309" t="str">
            <v>DSP</v>
          </cell>
          <cell r="D309" t="str">
            <v xml:space="preserve">MINISTERE DE LA SANTE </v>
          </cell>
          <cell r="E309" t="str">
            <v>NF5.733.8.262.128.05.06</v>
          </cell>
        </row>
        <row r="310">
          <cell r="A310" t="str">
            <v>NF573380708</v>
          </cell>
          <cell r="B310" t="str">
            <v>PCSC</v>
          </cell>
          <cell r="C310" t="str">
            <v>DSP</v>
          </cell>
          <cell r="D310" t="str">
            <v xml:space="preserve">MINISTERE DE LA SANTE </v>
          </cell>
          <cell r="E310" t="str">
            <v>NF5.733.8.262.128.07.08</v>
          </cell>
        </row>
        <row r="311">
          <cell r="A311" t="str">
            <v>NF573380807</v>
          </cell>
          <cell r="B311" t="str">
            <v>PCSC</v>
          </cell>
          <cell r="C311" t="str">
            <v>DSP</v>
          </cell>
          <cell r="D311" t="str">
            <v xml:space="preserve">MINISTERE DE LA SANTE </v>
          </cell>
          <cell r="E311" t="str">
            <v>NF5.733.8.262.128.08.07</v>
          </cell>
        </row>
        <row r="312">
          <cell r="A312" t="str">
            <v>NF573380809</v>
          </cell>
          <cell r="B312" t="str">
            <v>PCSC</v>
          </cell>
          <cell r="C312" t="str">
            <v>DSP</v>
          </cell>
          <cell r="D312" t="str">
            <v xml:space="preserve">MINISTERE DE LA SANTE </v>
          </cell>
          <cell r="E312" t="str">
            <v>NF5.733.8.262.128.08.09</v>
          </cell>
        </row>
        <row r="313">
          <cell r="A313" t="str">
            <v>NF574110603</v>
          </cell>
          <cell r="B313" t="str">
            <v>PCSC</v>
          </cell>
          <cell r="C313" t="str">
            <v xml:space="preserve">DJS </v>
          </cell>
          <cell r="D313" t="str">
            <v xml:space="preserve">MINISTERE DE LA JEUNESSE ET DES SPORTS </v>
          </cell>
          <cell r="E313" t="str">
            <v>NF5.741.1.262.128.06.03</v>
          </cell>
        </row>
        <row r="314">
          <cell r="A314" t="str">
            <v>NF574110604</v>
          </cell>
          <cell r="B314" t="str">
            <v>PCSC</v>
          </cell>
          <cell r="C314" t="str">
            <v xml:space="preserve">DJS </v>
          </cell>
          <cell r="D314" t="str">
            <v xml:space="preserve">MINISTERE DE LA JEUNESSE ET DES SPORTS </v>
          </cell>
          <cell r="E314" t="str">
            <v>NF5.741.1.262.128.06.04</v>
          </cell>
        </row>
        <row r="315">
          <cell r="A315" t="str">
            <v>NF574180516</v>
          </cell>
          <cell r="B315" t="str">
            <v>PCSC</v>
          </cell>
          <cell r="C315" t="str">
            <v xml:space="preserve">DJS </v>
          </cell>
          <cell r="D315" t="str">
            <v xml:space="preserve">MINISTERE DE LA JEUNESSE ET DES SPORTS </v>
          </cell>
          <cell r="E315" t="str">
            <v>NF5.741.8.262.128.05.16</v>
          </cell>
        </row>
        <row r="316">
          <cell r="A316" t="str">
            <v>NF574180517</v>
          </cell>
          <cell r="B316" t="str">
            <v>PCSC</v>
          </cell>
          <cell r="C316" t="str">
            <v xml:space="preserve">DJS </v>
          </cell>
          <cell r="D316" t="str">
            <v xml:space="preserve">MINISTERE DE LA JEUNESSE ET DES SPORTS </v>
          </cell>
          <cell r="E316" t="str">
            <v>NF5.741.8.262.128.05.17</v>
          </cell>
        </row>
        <row r="317">
          <cell r="A317" t="str">
            <v>NF574180619</v>
          </cell>
          <cell r="B317" t="str">
            <v>PCSC</v>
          </cell>
          <cell r="C317" t="str">
            <v xml:space="preserve">DJS </v>
          </cell>
          <cell r="D317" t="str">
            <v xml:space="preserve">MINISTERE DE LA JEUNESSE ET DES SPORTS </v>
          </cell>
          <cell r="E317" t="str">
            <v>NF5.741.8.262.128.06.19</v>
          </cell>
        </row>
        <row r="318">
          <cell r="A318" t="str">
            <v>NF574220608</v>
          </cell>
          <cell r="B318" t="str">
            <v>PCSC</v>
          </cell>
          <cell r="C318" t="str">
            <v xml:space="preserve">DJS </v>
          </cell>
          <cell r="D318" t="str">
            <v xml:space="preserve">MINISTERE DE LA JEUNESSE ET DES SPORTS </v>
          </cell>
          <cell r="E318" t="str">
            <v>NF5.742.2.262.128.06.08</v>
          </cell>
        </row>
        <row r="319">
          <cell r="A319" t="str">
            <v>NF574220609</v>
          </cell>
          <cell r="B319" t="str">
            <v>PCSC</v>
          </cell>
          <cell r="C319" t="str">
            <v xml:space="preserve">DJS </v>
          </cell>
          <cell r="D319" t="str">
            <v xml:space="preserve">MINISTERE DE LA JEUNESSE ET DES SPORTS </v>
          </cell>
          <cell r="E319" t="str">
            <v>NF5.742.2.262.128.06.09</v>
          </cell>
        </row>
        <row r="320">
          <cell r="A320" t="str">
            <v>NF574220613</v>
          </cell>
          <cell r="B320" t="str">
            <v>PCSC</v>
          </cell>
          <cell r="C320" t="str">
            <v xml:space="preserve">DJS </v>
          </cell>
          <cell r="D320" t="str">
            <v xml:space="preserve">MINISTERE DE LA JEUNESSE ET DES SPORTS </v>
          </cell>
          <cell r="E320" t="str">
            <v>NF5.742.2.262.128.06.13</v>
          </cell>
        </row>
        <row r="321">
          <cell r="A321" t="str">
            <v>NF574240603</v>
          </cell>
          <cell r="B321" t="str">
            <v>PCSC</v>
          </cell>
          <cell r="C321" t="str">
            <v xml:space="preserve">DJS </v>
          </cell>
          <cell r="D321" t="str">
            <v xml:space="preserve">MINISTERE DE LA JEUNESSE ET DES SPORTS </v>
          </cell>
          <cell r="E321" t="str">
            <v>NF5.742.4.262.128.06.03</v>
          </cell>
        </row>
        <row r="322">
          <cell r="A322" t="str">
            <v>NF574270603</v>
          </cell>
          <cell r="B322" t="str">
            <v>PCSC</v>
          </cell>
          <cell r="C322" t="str">
            <v xml:space="preserve">DJS </v>
          </cell>
          <cell r="D322" t="str">
            <v xml:space="preserve">MINISTERE DE LA JEUNESSE ET DES SPORTS </v>
          </cell>
          <cell r="E322" t="str">
            <v>NF5.742.7.262.128.06.03</v>
          </cell>
        </row>
        <row r="323">
          <cell r="A323" t="str">
            <v>NF574280507</v>
          </cell>
          <cell r="B323" t="str">
            <v>PCSC</v>
          </cell>
          <cell r="C323" t="str">
            <v xml:space="preserve">DJS </v>
          </cell>
          <cell r="D323" t="str">
            <v xml:space="preserve">MINISTERE DE LA JEUNESSE ET DES SPORTS </v>
          </cell>
          <cell r="E323" t="str">
            <v>NF5.742.8.262.128.05.07</v>
          </cell>
        </row>
        <row r="324">
          <cell r="A324" t="str">
            <v>NF574280509</v>
          </cell>
          <cell r="B324" t="str">
            <v>PCSC</v>
          </cell>
          <cell r="C324" t="str">
            <v xml:space="preserve">DJS </v>
          </cell>
          <cell r="D324" t="str">
            <v xml:space="preserve">MINISTERE DE LA JEUNESSE ET DES SPORTS </v>
          </cell>
          <cell r="E324" t="str">
            <v>NF5.742.8.262.128.05.09</v>
          </cell>
        </row>
        <row r="325">
          <cell r="A325" t="str">
            <v>NF574280610</v>
          </cell>
          <cell r="B325" t="str">
            <v>PCSC</v>
          </cell>
          <cell r="C325" t="str">
            <v xml:space="preserve">DJS </v>
          </cell>
          <cell r="D325" t="str">
            <v xml:space="preserve">MINISTERE DE LA JEUNESSE ET DES SPORTS </v>
          </cell>
          <cell r="E325" t="str">
            <v>NF5.742.8.262.128.06.10</v>
          </cell>
        </row>
        <row r="326">
          <cell r="A326" t="str">
            <v>NF574280615</v>
          </cell>
          <cell r="B326" t="str">
            <v>PCSC</v>
          </cell>
          <cell r="C326" t="str">
            <v xml:space="preserve">DJS </v>
          </cell>
          <cell r="D326" t="str">
            <v xml:space="preserve">MINISTERE DE LA JEUNESSE ET DES SPORTS </v>
          </cell>
          <cell r="E326" t="str">
            <v>NF5.742.8.262.128.06.15</v>
          </cell>
        </row>
        <row r="327">
          <cell r="A327" t="str">
            <v>NF574280617</v>
          </cell>
          <cell r="B327" t="str">
            <v>PCSC</v>
          </cell>
          <cell r="C327" t="str">
            <v xml:space="preserve">DJS </v>
          </cell>
          <cell r="D327" t="str">
            <v xml:space="preserve">MINISTERE DE LA JEUNESSE ET DES SPORTS </v>
          </cell>
          <cell r="E327" t="str">
            <v>NF5.742.8.262.128.06.17</v>
          </cell>
        </row>
        <row r="328">
          <cell r="A328" t="str">
            <v>NF574280621</v>
          </cell>
          <cell r="B328" t="str">
            <v>PCSC</v>
          </cell>
          <cell r="C328" t="str">
            <v xml:space="preserve">DJS </v>
          </cell>
          <cell r="D328" t="str">
            <v xml:space="preserve">MINISTERE DE LA JEUNESSE ET DES SPORTS </v>
          </cell>
          <cell r="E328" t="str">
            <v>NF5.742.8.262.128.06.21</v>
          </cell>
        </row>
        <row r="329">
          <cell r="A329" t="str">
            <v>NF574280826</v>
          </cell>
          <cell r="B329" t="str">
            <v>PCSC</v>
          </cell>
          <cell r="C329" t="str">
            <v xml:space="preserve">DJS </v>
          </cell>
          <cell r="D329" t="str">
            <v xml:space="preserve">MINISTERE DE LA JEUNESSE ET DES SPORTS </v>
          </cell>
          <cell r="E329" t="str">
            <v>NF5.742.8.262.128.08.26</v>
          </cell>
        </row>
        <row r="330">
          <cell r="A330" t="str">
            <v>NF574280827</v>
          </cell>
          <cell r="B330" t="str">
            <v>PCSC</v>
          </cell>
          <cell r="C330" t="str">
            <v xml:space="preserve">DJS </v>
          </cell>
          <cell r="D330" t="str">
            <v xml:space="preserve">MINISTERE DE LA JEUNESSE ET DES SPORTS </v>
          </cell>
          <cell r="E330" t="str">
            <v>NF5.742.8.262.128.08.27</v>
          </cell>
        </row>
        <row r="331">
          <cell r="A331" t="str">
            <v>NF574280828</v>
          </cell>
          <cell r="B331" t="str">
            <v>PCSC</v>
          </cell>
          <cell r="C331" t="str">
            <v xml:space="preserve">DJS </v>
          </cell>
          <cell r="D331" t="str">
            <v xml:space="preserve">MINISTERE DE LA JEUNESSE ET DES SPORTS </v>
          </cell>
          <cell r="E331" t="str">
            <v>NF5.742.8.262.128.08.28</v>
          </cell>
        </row>
        <row r="332">
          <cell r="A332" t="str">
            <v>NF575210606</v>
          </cell>
          <cell r="B332" t="str">
            <v>PCSC</v>
          </cell>
          <cell r="C332" t="str">
            <v>DCW</v>
          </cell>
          <cell r="D332" t="str">
            <v xml:space="preserve">MINISTERE DE LA CULTURE </v>
          </cell>
          <cell r="E332" t="str">
            <v>NF5.752.1.262.128.06.06</v>
          </cell>
        </row>
        <row r="333">
          <cell r="A333" t="str">
            <v>NF575210607</v>
          </cell>
          <cell r="B333" t="str">
            <v>PCSC</v>
          </cell>
          <cell r="C333" t="str">
            <v>DCW</v>
          </cell>
          <cell r="D333" t="str">
            <v xml:space="preserve">MINISTERE DE LA CULTURE </v>
          </cell>
          <cell r="E333" t="str">
            <v>NF5.752.1.262.128.06.07</v>
          </cell>
        </row>
        <row r="334">
          <cell r="A334" t="str">
            <v>NF575250602</v>
          </cell>
          <cell r="B334" t="str">
            <v>PCSC</v>
          </cell>
          <cell r="C334" t="str">
            <v>DCW</v>
          </cell>
          <cell r="D334" t="str">
            <v xml:space="preserve">MINISTERE DE LA CULTURE </v>
          </cell>
          <cell r="E334" t="str">
            <v>NF5.752.5.262.128.06.02</v>
          </cell>
        </row>
        <row r="335">
          <cell r="A335" t="str">
            <v>NF575260903</v>
          </cell>
          <cell r="B335" t="str">
            <v>PCSC</v>
          </cell>
          <cell r="C335" t="str">
            <v>DCW</v>
          </cell>
          <cell r="D335" t="str">
            <v xml:space="preserve">MINISTERE DE LA CULTURE </v>
          </cell>
          <cell r="E335" t="str">
            <v>NF5.752.6.262.128.09.03</v>
          </cell>
        </row>
        <row r="336">
          <cell r="A336" t="str">
            <v>NF575270610</v>
          </cell>
          <cell r="B336" t="str">
            <v>PCSC</v>
          </cell>
          <cell r="C336" t="str">
            <v>DCW</v>
          </cell>
          <cell r="D336" t="str">
            <v xml:space="preserve">MINISTERE DE LA CULTURE </v>
          </cell>
          <cell r="E336" t="str">
            <v>NF5.752.7.262.128.06.10</v>
          </cell>
        </row>
        <row r="337">
          <cell r="A337" t="str">
            <v>NF575280607</v>
          </cell>
          <cell r="B337" t="str">
            <v>PCSC</v>
          </cell>
          <cell r="C337" t="str">
            <v>DLEP</v>
          </cell>
          <cell r="D337" t="str">
            <v xml:space="preserve">MINISTERE DE LA CULTURE </v>
          </cell>
          <cell r="E337" t="str">
            <v>NF5.752.8.262.128.06.07</v>
          </cell>
        </row>
        <row r="338">
          <cell r="A338" t="str">
            <v>NF575280808</v>
          </cell>
          <cell r="B338" t="str">
            <v>PCSC</v>
          </cell>
          <cell r="C338" t="str">
            <v>DCW</v>
          </cell>
          <cell r="D338" t="str">
            <v xml:space="preserve">MINISTERE DE LA CULTURE </v>
          </cell>
          <cell r="E338" t="str">
            <v>NF5.752.8.262.128.08.08</v>
          </cell>
        </row>
        <row r="339">
          <cell r="A339" t="str">
            <v>NF575280909</v>
          </cell>
          <cell r="B339" t="str">
            <v>PCSC</v>
          </cell>
          <cell r="C339" t="str">
            <v>DCW</v>
          </cell>
          <cell r="D339" t="str">
            <v xml:space="preserve">MINISTERE DE LA CULTURE </v>
          </cell>
          <cell r="E339" t="str">
            <v>NF5.752.8.262.128.09.09</v>
          </cell>
        </row>
        <row r="340">
          <cell r="A340" t="str">
            <v>NF575280912</v>
          </cell>
          <cell r="B340" t="str">
            <v>PCSC</v>
          </cell>
          <cell r="C340" t="str">
            <v>DCW</v>
          </cell>
          <cell r="D340" t="str">
            <v xml:space="preserve">MINISTERE DE LA CULTURE </v>
          </cell>
          <cell r="E340" t="str">
            <v>NF5.752.8.262.128.09.12</v>
          </cell>
        </row>
        <row r="341">
          <cell r="A341" t="str">
            <v>NF576140601</v>
          </cell>
          <cell r="B341" t="str">
            <v>PCSC</v>
          </cell>
          <cell r="C341" t="str">
            <v>D MOUD</v>
          </cell>
          <cell r="D341" t="str">
            <v>MINISTERE DES MODJAHIDINNE</v>
          </cell>
          <cell r="E341" t="str">
            <v>NF5.761.4.262.128.06.01</v>
          </cell>
        </row>
        <row r="342">
          <cell r="A342" t="str">
            <v>NF576230701</v>
          </cell>
          <cell r="B342" t="str">
            <v>PCSC</v>
          </cell>
          <cell r="C342" t="str">
            <v>DLEP</v>
          </cell>
          <cell r="D342" t="str">
            <v xml:space="preserve">MINISTERE DES AFFAIRES RELIGIEUSES </v>
          </cell>
          <cell r="E342" t="str">
            <v>NF5.762.3.262.128.07.01</v>
          </cell>
        </row>
        <row r="343">
          <cell r="A343" t="str">
            <v>NF576330601</v>
          </cell>
          <cell r="B343" t="str">
            <v>PCSC</v>
          </cell>
          <cell r="C343" t="str">
            <v>D MOUD</v>
          </cell>
          <cell r="D343" t="str">
            <v>MINISTERE DES MODJAHIDINNE</v>
          </cell>
          <cell r="E343" t="str">
            <v>NF5.763.3.262.128.06.01</v>
          </cell>
        </row>
        <row r="344">
          <cell r="A344" t="str">
            <v>NF576360501</v>
          </cell>
          <cell r="B344" t="str">
            <v>PCSC</v>
          </cell>
          <cell r="C344" t="str">
            <v>DAS</v>
          </cell>
          <cell r="D344" t="str">
            <v xml:space="preserve">MINISTERE DE LA SOLIDARITE </v>
          </cell>
          <cell r="E344" t="str">
            <v>NF5.763.6.262.128.05.01</v>
          </cell>
        </row>
        <row r="345">
          <cell r="A345" t="str">
            <v>NF576460602</v>
          </cell>
          <cell r="B345" t="str">
            <v>PCSC</v>
          </cell>
          <cell r="C345" t="str">
            <v>DAS</v>
          </cell>
          <cell r="D345" t="str">
            <v xml:space="preserve">MINISTERE DE LA SOLIDARITE </v>
          </cell>
          <cell r="E345" t="str">
            <v>NF5.764.6.262.128.06.02</v>
          </cell>
        </row>
        <row r="346">
          <cell r="A346" t="str">
            <v>NF576460703</v>
          </cell>
          <cell r="B346" t="str">
            <v>PCSC</v>
          </cell>
          <cell r="C346" t="str">
            <v>DAS</v>
          </cell>
          <cell r="D346" t="str">
            <v xml:space="preserve">MINISTERE DE LA SOLIDARITE </v>
          </cell>
          <cell r="E346" t="str">
            <v>NF5.764.6.262.128.07.03</v>
          </cell>
        </row>
        <row r="347">
          <cell r="A347" t="str">
            <v>NF576480605</v>
          </cell>
          <cell r="B347" t="str">
            <v>PCSC</v>
          </cell>
          <cell r="C347" t="str">
            <v>DAS</v>
          </cell>
          <cell r="D347" t="str">
            <v xml:space="preserve">MINISTERE DE LA SOLIDARITE </v>
          </cell>
          <cell r="E347" t="str">
            <v>NF5.764.8.262.128.06.05</v>
          </cell>
        </row>
        <row r="348">
          <cell r="A348" t="str">
            <v>NF583140703</v>
          </cell>
          <cell r="B348" t="str">
            <v>PCSC</v>
          </cell>
          <cell r="C348" t="str">
            <v>DAL</v>
          </cell>
          <cell r="D348" t="str">
            <v xml:space="preserve">MINISTERE DE L'INTERIEUR </v>
          </cell>
          <cell r="E348" t="str">
            <v>NF5.831.4.262.128.07.03</v>
          </cell>
        </row>
        <row r="349">
          <cell r="A349" t="str">
            <v>NF583160603</v>
          </cell>
          <cell r="B349" t="str">
            <v>PCSC</v>
          </cell>
          <cell r="C349" t="str">
            <v>DAL</v>
          </cell>
          <cell r="D349" t="str">
            <v xml:space="preserve">MINISTERE DE L'INTERIEUR </v>
          </cell>
          <cell r="E349" t="str">
            <v>NF5.831.6.262.128.06.03</v>
          </cell>
        </row>
        <row r="350">
          <cell r="A350" t="str">
            <v>NF583160806</v>
          </cell>
          <cell r="B350" t="str">
            <v>PCSC</v>
          </cell>
          <cell r="C350" t="str">
            <v>DAL</v>
          </cell>
          <cell r="D350" t="str">
            <v xml:space="preserve">MINISTERE DE L'INTERIEUR </v>
          </cell>
          <cell r="E350" t="str">
            <v>NF5.831.6.262.128.08.06</v>
          </cell>
        </row>
        <row r="351">
          <cell r="A351" t="str">
            <v>NF583180710</v>
          </cell>
          <cell r="B351" t="str">
            <v>PCSC</v>
          </cell>
          <cell r="C351" t="str">
            <v>DLEP</v>
          </cell>
          <cell r="E351" t="str">
            <v>NF5.831.8.262.128.07.10</v>
          </cell>
        </row>
        <row r="352">
          <cell r="A352" t="str">
            <v>NF585220601</v>
          </cell>
          <cell r="B352" t="str">
            <v>PCSC</v>
          </cell>
          <cell r="C352" t="str">
            <v>DLEP</v>
          </cell>
          <cell r="D352" t="str">
            <v xml:space="preserve">MINISTERE DE L'INTERIEUR </v>
          </cell>
          <cell r="E352" t="str">
            <v>NF5.852.2.262.128.06.01</v>
          </cell>
        </row>
        <row r="353">
          <cell r="A353" t="str">
            <v>NF585220602</v>
          </cell>
          <cell r="B353" t="str">
            <v>PCSC</v>
          </cell>
          <cell r="C353" t="str">
            <v>DLEP</v>
          </cell>
          <cell r="D353" t="str">
            <v xml:space="preserve">MINISTERE DE L'INTERIEUR </v>
          </cell>
          <cell r="E353" t="str">
            <v>NF5.852.2.262.128.06.02</v>
          </cell>
        </row>
        <row r="354">
          <cell r="A354" t="str">
            <v>NF585220603</v>
          </cell>
          <cell r="B354" t="str">
            <v>PCSC</v>
          </cell>
          <cell r="C354" t="str">
            <v>DLEP</v>
          </cell>
          <cell r="D354" t="str">
            <v xml:space="preserve">MINISTERE DE L'INTERIEUR </v>
          </cell>
          <cell r="E354" t="str">
            <v>NF5.852.2.262.128.06.03</v>
          </cell>
        </row>
        <row r="355">
          <cell r="A355" t="str">
            <v>NF585220604</v>
          </cell>
          <cell r="B355" t="str">
            <v>PCSC</v>
          </cell>
          <cell r="C355" t="str">
            <v>DLEP</v>
          </cell>
          <cell r="D355" t="str">
            <v xml:space="preserve">MINISTERE DE L'INTERIEUR </v>
          </cell>
          <cell r="E355" t="str">
            <v>NF5.852.2.262.128.06.04</v>
          </cell>
        </row>
        <row r="356">
          <cell r="A356" t="str">
            <v>NF585220605</v>
          </cell>
          <cell r="B356" t="str">
            <v>PCSC</v>
          </cell>
          <cell r="C356" t="str">
            <v>DLEP</v>
          </cell>
          <cell r="D356" t="str">
            <v xml:space="preserve">MINISTERE DE L'INTERIEUR </v>
          </cell>
          <cell r="E356" t="str">
            <v>NF5.852.2.262.128.06.05</v>
          </cell>
        </row>
        <row r="357">
          <cell r="A357" t="str">
            <v>NF585220606</v>
          </cell>
          <cell r="B357" t="str">
            <v>PCSC</v>
          </cell>
          <cell r="C357" t="str">
            <v>DLEP</v>
          </cell>
          <cell r="D357" t="str">
            <v xml:space="preserve">MINISTERE DE L'INTERIEUR </v>
          </cell>
          <cell r="E357" t="str">
            <v>NF5.852.2.262.128.06.06</v>
          </cell>
        </row>
        <row r="358">
          <cell r="A358" t="str">
            <v>NF585220607</v>
          </cell>
          <cell r="B358" t="str">
            <v>PCSC</v>
          </cell>
          <cell r="C358" t="str">
            <v>DLEP</v>
          </cell>
          <cell r="D358" t="str">
            <v xml:space="preserve">MINISTERE DE L'INTERIEUR </v>
          </cell>
          <cell r="E358" t="str">
            <v>NF5.852.2.262.128.06.07</v>
          </cell>
        </row>
        <row r="359">
          <cell r="A359" t="str">
            <v>NF585230602</v>
          </cell>
          <cell r="B359" t="str">
            <v>PCSC</v>
          </cell>
          <cell r="C359" t="str">
            <v>DLEP</v>
          </cell>
          <cell r="D359" t="str">
            <v xml:space="preserve">MINISTERE DE L'INTERIEUR </v>
          </cell>
          <cell r="E359" t="str">
            <v>NF5.852.3.262.128.06.02</v>
          </cell>
        </row>
        <row r="360">
          <cell r="A360" t="str">
            <v>NF585230603</v>
          </cell>
          <cell r="B360" t="str">
            <v>PCSC</v>
          </cell>
          <cell r="C360" t="str">
            <v>DLEP</v>
          </cell>
          <cell r="D360" t="str">
            <v xml:space="preserve">MINISTERE DE L'INTERIEUR </v>
          </cell>
          <cell r="E360" t="str">
            <v>NF5.852.3.262.128.06.03</v>
          </cell>
        </row>
        <row r="361">
          <cell r="A361" t="str">
            <v>NF585230604</v>
          </cell>
          <cell r="B361" t="str">
            <v>PCSC</v>
          </cell>
          <cell r="C361" t="str">
            <v>DLEP</v>
          </cell>
          <cell r="D361" t="str">
            <v xml:space="preserve">MINISTERE DE L'INTERIEUR </v>
          </cell>
          <cell r="E361" t="str">
            <v>NF5.852.3.262.128.06.04</v>
          </cell>
        </row>
        <row r="362">
          <cell r="A362" t="str">
            <v>NF585230605</v>
          </cell>
          <cell r="B362" t="str">
            <v>PCSC</v>
          </cell>
          <cell r="C362" t="str">
            <v>DLEP</v>
          </cell>
          <cell r="D362" t="str">
            <v xml:space="preserve">MINISTERE DE L'INTERIEUR </v>
          </cell>
          <cell r="E362" t="str">
            <v>NF5.852.3.262.128.06.05</v>
          </cell>
        </row>
        <row r="363">
          <cell r="A363" t="str">
            <v>NF585230606</v>
          </cell>
          <cell r="B363" t="str">
            <v>PCSC</v>
          </cell>
          <cell r="C363" t="str">
            <v>DLEP</v>
          </cell>
          <cell r="D363" t="str">
            <v xml:space="preserve">MINISTERE DE L'INTERIEUR </v>
          </cell>
          <cell r="E363" t="str">
            <v>NF5.852.3.262.128.06.06</v>
          </cell>
        </row>
        <row r="364">
          <cell r="A364" t="str">
            <v>NF585250601</v>
          </cell>
          <cell r="B364" t="str">
            <v>PCSC</v>
          </cell>
          <cell r="C364" t="str">
            <v>DLEP</v>
          </cell>
          <cell r="D364" t="str">
            <v xml:space="preserve">MINISTERE DE L'INTERIEUR </v>
          </cell>
          <cell r="E364" t="str">
            <v>NF5.852.5.262.128.06.01</v>
          </cell>
        </row>
        <row r="365">
          <cell r="A365" t="str">
            <v>NF585280602</v>
          </cell>
          <cell r="B365" t="str">
            <v>PCSC</v>
          </cell>
          <cell r="C365" t="str">
            <v>DLEP</v>
          </cell>
          <cell r="D365" t="str">
            <v xml:space="preserve">MINISTERE DE L'INTERIEUR </v>
          </cell>
          <cell r="E365" t="str">
            <v>NF5.852.8.262.128.06.02</v>
          </cell>
        </row>
        <row r="366">
          <cell r="A366" t="str">
            <v>NF585280603</v>
          </cell>
          <cell r="B366" t="str">
            <v>PCSC</v>
          </cell>
          <cell r="C366" t="str">
            <v>DLEP</v>
          </cell>
          <cell r="D366" t="str">
            <v xml:space="preserve">MINISTERE DE L'INTERIEUR </v>
          </cell>
          <cell r="E366" t="str">
            <v>NF5.852.8.262.128.06.03</v>
          </cell>
        </row>
        <row r="367">
          <cell r="A367" t="str">
            <v>NF585280604</v>
          </cell>
          <cell r="B367" t="str">
            <v>PCSC</v>
          </cell>
          <cell r="C367" t="str">
            <v>DLEP</v>
          </cell>
          <cell r="D367" t="str">
            <v xml:space="preserve">MINISTERE DE L'INTERIEUR </v>
          </cell>
          <cell r="E367" t="str">
            <v>NF5.852.8.262.128.06.04</v>
          </cell>
        </row>
        <row r="368">
          <cell r="A368" t="str">
            <v>NF585280605</v>
          </cell>
          <cell r="B368" t="str">
            <v>PCSC</v>
          </cell>
          <cell r="C368" t="str">
            <v>DLEP</v>
          </cell>
          <cell r="D368" t="str">
            <v xml:space="preserve">MINISTERE DE L'INTERIEUR </v>
          </cell>
          <cell r="E368" t="str">
            <v>NF5.852.8.262.128.06.05</v>
          </cell>
        </row>
        <row r="369">
          <cell r="A369" t="str">
            <v>NF585280606</v>
          </cell>
          <cell r="B369" t="str">
            <v>PCSC</v>
          </cell>
          <cell r="C369" t="str">
            <v>DLEP</v>
          </cell>
          <cell r="D369" t="str">
            <v xml:space="preserve">MINISTERE DE L'INTERIEUR </v>
          </cell>
          <cell r="E369" t="str">
            <v>NF5.852.8.262.128.06.06</v>
          </cell>
        </row>
        <row r="370">
          <cell r="A370" t="str">
            <v>NF585280607</v>
          </cell>
          <cell r="B370" t="str">
            <v>PCSC</v>
          </cell>
          <cell r="C370" t="str">
            <v>DLEP</v>
          </cell>
          <cell r="D370" t="str">
            <v xml:space="preserve">MINISTERE DE L'INTERIEUR </v>
          </cell>
          <cell r="E370" t="str">
            <v>NF5.852.8.262.128.06.07</v>
          </cell>
        </row>
        <row r="371">
          <cell r="A371" t="str">
            <v>NF585280608</v>
          </cell>
          <cell r="B371" t="str">
            <v>PCSC</v>
          </cell>
          <cell r="C371" t="str">
            <v>DLEP</v>
          </cell>
          <cell r="D371" t="str">
            <v xml:space="preserve">MINISTERE DE L'INTERIEUR </v>
          </cell>
          <cell r="E371" t="str">
            <v>NF5.852.8.262.128.06.08</v>
          </cell>
        </row>
        <row r="372">
          <cell r="A372" t="str">
            <v>NF585280609</v>
          </cell>
          <cell r="B372" t="str">
            <v>PCSC</v>
          </cell>
          <cell r="C372" t="str">
            <v>DLEP</v>
          </cell>
          <cell r="D372" t="str">
            <v xml:space="preserve">MINISTERE DE L'INTERIEUR </v>
          </cell>
          <cell r="E372" t="str">
            <v>NF5.852.8.262.128.06.09</v>
          </cell>
        </row>
        <row r="373">
          <cell r="A373" t="str">
            <v>NF585280610</v>
          </cell>
          <cell r="B373" t="str">
            <v>PCSC</v>
          </cell>
          <cell r="C373" t="str">
            <v>DLEP</v>
          </cell>
          <cell r="D373" t="str">
            <v xml:space="preserve">MINISTERE DE L'INTERIEUR </v>
          </cell>
          <cell r="E373" t="str">
            <v>NF5.852.8.262.128.06.10</v>
          </cell>
        </row>
        <row r="374">
          <cell r="A374" t="str">
            <v>NF585320601</v>
          </cell>
          <cell r="B374" t="str">
            <v>PCSC</v>
          </cell>
          <cell r="C374" t="str">
            <v>DLEP</v>
          </cell>
          <cell r="D374" t="str">
            <v xml:space="preserve">MINISTERE DE LA JUSTICE </v>
          </cell>
          <cell r="E374" t="str">
            <v>NF5.853.2.262.128.06.01</v>
          </cell>
        </row>
        <row r="375">
          <cell r="A375" t="str">
            <v>NF585320803</v>
          </cell>
          <cell r="B375" t="str">
            <v>PCSC</v>
          </cell>
          <cell r="C375" t="str">
            <v>DLEP</v>
          </cell>
          <cell r="D375" t="str">
            <v xml:space="preserve">MINISTERE DE LA JUSTICE </v>
          </cell>
          <cell r="E375" t="str">
            <v>NF5.853.2.262.128.08.03</v>
          </cell>
        </row>
        <row r="376">
          <cell r="A376" t="str">
            <v>NF585330604</v>
          </cell>
          <cell r="B376" t="str">
            <v>PCSC</v>
          </cell>
          <cell r="C376" t="str">
            <v>DLEP</v>
          </cell>
          <cell r="D376" t="str">
            <v xml:space="preserve">MINISTERE DE LA JUSTICE </v>
          </cell>
          <cell r="E376" t="str">
            <v>NF5.853.3.262.128.06.04</v>
          </cell>
        </row>
        <row r="377">
          <cell r="A377" t="str">
            <v>NF585330605</v>
          </cell>
          <cell r="B377" t="str">
            <v>PCSC</v>
          </cell>
          <cell r="C377" t="str">
            <v>DLEP</v>
          </cell>
          <cell r="D377" t="str">
            <v xml:space="preserve">MINISTERE DE LA JUSTICE </v>
          </cell>
          <cell r="E377" t="str">
            <v>NF5.853.3.262.128.06.05</v>
          </cell>
        </row>
        <row r="378">
          <cell r="A378" t="str">
            <v>NF585420603</v>
          </cell>
          <cell r="B378" t="str">
            <v>PCSC</v>
          </cell>
          <cell r="C378" t="str">
            <v>DLEP</v>
          </cell>
          <cell r="D378" t="str">
            <v xml:space="preserve">MINISTERE DE L'INTERIEUR </v>
          </cell>
          <cell r="E378" t="str">
            <v>NF5.854.2.262.128.06.03</v>
          </cell>
        </row>
        <row r="379">
          <cell r="A379" t="str">
            <v>NF585420806</v>
          </cell>
          <cell r="B379" t="str">
            <v>PCSC</v>
          </cell>
          <cell r="C379" t="str">
            <v>DLEP</v>
          </cell>
          <cell r="D379" t="str">
            <v xml:space="preserve">MINISTERE DE L'INTERIEUR </v>
          </cell>
          <cell r="E379" t="str">
            <v>NF5.854.2.262.128.08.06</v>
          </cell>
        </row>
        <row r="380">
          <cell r="A380" t="str">
            <v>NF585470802</v>
          </cell>
          <cell r="B380" t="str">
            <v>PCSC</v>
          </cell>
          <cell r="C380" t="str">
            <v>DLEP</v>
          </cell>
          <cell r="D380" t="str">
            <v xml:space="preserve">MINISTERE DE L'INTERIEUR </v>
          </cell>
          <cell r="E380" t="str">
            <v>NF5.854.7.262.128.08.02</v>
          </cell>
        </row>
        <row r="381">
          <cell r="A381" t="str">
            <v>NF585480803</v>
          </cell>
          <cell r="B381" t="str">
            <v>PCSC</v>
          </cell>
          <cell r="C381" t="str">
            <v>DLEP</v>
          </cell>
          <cell r="D381" t="str">
            <v xml:space="preserve">MINISTERE DE L'INTERIEUR </v>
          </cell>
          <cell r="E381" t="str">
            <v>NF5.854.8.262.128.08.03</v>
          </cell>
        </row>
        <row r="382">
          <cell r="A382" t="str">
            <v>NF585480904</v>
          </cell>
          <cell r="B382" t="str">
            <v>PCSC</v>
          </cell>
          <cell r="C382" t="str">
            <v>DLEP</v>
          </cell>
          <cell r="D382" t="str">
            <v xml:space="preserve">MINISTERE DE L'INTERIEUR </v>
          </cell>
          <cell r="E382" t="str">
            <v>NF5.854.8.262.128.09.04</v>
          </cell>
        </row>
        <row r="383">
          <cell r="A383" t="str">
            <v>NK5172--14--</v>
          </cell>
          <cell r="B383" t="str">
            <v>PCCE</v>
          </cell>
          <cell r="C383" t="str">
            <v>DPME</v>
          </cell>
          <cell r="D383" t="str">
            <v xml:space="preserve">MINISTERE DES PME </v>
          </cell>
          <cell r="E383" t="str">
            <v>NK5.172.--.262.128.14.--</v>
          </cell>
        </row>
        <row r="384">
          <cell r="A384" t="str">
            <v>NK517221101</v>
          </cell>
          <cell r="B384" t="str">
            <v>PCCE</v>
          </cell>
          <cell r="C384" t="str">
            <v>PME</v>
          </cell>
          <cell r="D384" t="str">
            <v xml:space="preserve">MINISTERE DES PME </v>
          </cell>
          <cell r="E384" t="str">
            <v>NK5.172.2.262.128.11.01</v>
          </cell>
        </row>
        <row r="385">
          <cell r="A385" t="str">
            <v>NK517541101</v>
          </cell>
          <cell r="B385" t="str">
            <v>PCCE</v>
          </cell>
          <cell r="C385" t="str">
            <v>PME</v>
          </cell>
          <cell r="D385" t="str">
            <v xml:space="preserve">MINISTERE DES PME </v>
          </cell>
          <cell r="E385" t="str">
            <v>NK5.175.4.262.128.11.01</v>
          </cell>
        </row>
        <row r="386">
          <cell r="A386" t="str">
            <v>NK517541103</v>
          </cell>
          <cell r="B386" t="str">
            <v>PCCE</v>
          </cell>
          <cell r="C386" t="str">
            <v>PME</v>
          </cell>
          <cell r="D386" t="str">
            <v xml:space="preserve">MINISTERE DES PME </v>
          </cell>
          <cell r="E386" t="str">
            <v>NK5.175.4.262.128.11.03</v>
          </cell>
        </row>
        <row r="387">
          <cell r="A387" t="str">
            <v>NK517541202</v>
          </cell>
          <cell r="B387" t="str">
            <v>PCCE</v>
          </cell>
          <cell r="C387" t="str">
            <v>PME</v>
          </cell>
          <cell r="D387" t="str">
            <v xml:space="preserve">MINISTERE DES PME </v>
          </cell>
          <cell r="E387" t="str">
            <v>NK5.175.4.262.128.12.02</v>
          </cell>
        </row>
        <row r="388">
          <cell r="A388" t="str">
            <v>NK517541204</v>
          </cell>
          <cell r="B388" t="str">
            <v>PCCE</v>
          </cell>
          <cell r="C388" t="str">
            <v>PME</v>
          </cell>
          <cell r="D388" t="str">
            <v xml:space="preserve">MINISTERE DES PME </v>
          </cell>
          <cell r="E388" t="str">
            <v>NK5.175.4.262.128.12.04</v>
          </cell>
        </row>
        <row r="389">
          <cell r="A389" t="str">
            <v>NK5226--14--</v>
          </cell>
          <cell r="B389" t="str">
            <v>PCCE</v>
          </cell>
          <cell r="C389" t="str">
            <v>CF</v>
          </cell>
          <cell r="D389" t="str">
            <v xml:space="preserve">DIRECTION DENERALE DES FORETS </v>
          </cell>
          <cell r="E389" t="str">
            <v>NK5.226.--.262.128.14.--</v>
          </cell>
        </row>
        <row r="390">
          <cell r="A390" t="str">
            <v>NK5226--14--</v>
          </cell>
          <cell r="B390" t="str">
            <v>PCCE</v>
          </cell>
          <cell r="C390" t="str">
            <v>CF</v>
          </cell>
          <cell r="D390" t="str">
            <v xml:space="preserve">DIRECTION DENERALE DES FORETS </v>
          </cell>
          <cell r="E390" t="str">
            <v>NK5.226.--.262.128.14.--</v>
          </cell>
        </row>
        <row r="391">
          <cell r="A391" t="str">
            <v>NK5226--14--</v>
          </cell>
          <cell r="B391" t="str">
            <v>PCCE</v>
          </cell>
          <cell r="C391" t="str">
            <v>CF</v>
          </cell>
          <cell r="D391" t="str">
            <v xml:space="preserve">DIRECTION DENERALE DES FORETS </v>
          </cell>
          <cell r="E391" t="str">
            <v>NK5.226.--.262.128.14.--</v>
          </cell>
        </row>
        <row r="392">
          <cell r="A392" t="str">
            <v>NK5226--14--</v>
          </cell>
          <cell r="B392" t="str">
            <v>PCCE</v>
          </cell>
          <cell r="C392" t="str">
            <v>CF</v>
          </cell>
          <cell r="D392" t="str">
            <v xml:space="preserve">DIRECTION DENERALE DES FORETS </v>
          </cell>
          <cell r="E392" t="str">
            <v>NK5.226.--.262.128.14.--</v>
          </cell>
        </row>
        <row r="393">
          <cell r="A393" t="str">
            <v>NK5226--14--</v>
          </cell>
          <cell r="B393" t="str">
            <v>PCCE</v>
          </cell>
          <cell r="C393" t="str">
            <v>CF</v>
          </cell>
          <cell r="D393" t="str">
            <v xml:space="preserve">DIRECTION DENERALE DES FORETS </v>
          </cell>
          <cell r="E393" t="str">
            <v>NK5.226.--.262.128.14.--</v>
          </cell>
        </row>
        <row r="394">
          <cell r="A394" t="str">
            <v>NK5226--14--</v>
          </cell>
          <cell r="B394" t="str">
            <v>PCCE</v>
          </cell>
          <cell r="C394" t="str">
            <v>CF</v>
          </cell>
          <cell r="D394" t="str">
            <v xml:space="preserve">DIRECTION DENERALE DES FORETS </v>
          </cell>
          <cell r="E394" t="str">
            <v>NK5.226.--.262.128.14.--</v>
          </cell>
        </row>
        <row r="395">
          <cell r="A395" t="str">
            <v>NK5226--14--</v>
          </cell>
          <cell r="B395" t="str">
            <v>PCCE</v>
          </cell>
          <cell r="C395" t="str">
            <v>CF</v>
          </cell>
          <cell r="D395" t="str">
            <v xml:space="preserve">DIRECTION DENERALE DES FORETS </v>
          </cell>
          <cell r="E395" t="str">
            <v>NK5.226.--.262.128.14.--</v>
          </cell>
        </row>
        <row r="396">
          <cell r="A396" t="str">
            <v>NK522621031</v>
          </cell>
          <cell r="B396" t="str">
            <v>PCCE</v>
          </cell>
          <cell r="C396" t="str">
            <v>C.F</v>
          </cell>
          <cell r="D396" t="str">
            <v xml:space="preserve">DIRECTION DENERALE DES FORETS </v>
          </cell>
          <cell r="E396" t="str">
            <v>NK5.226.2.262.128.10.31</v>
          </cell>
        </row>
        <row r="397">
          <cell r="A397" t="str">
            <v>NK522621132</v>
          </cell>
          <cell r="B397" t="str">
            <v>PCCE</v>
          </cell>
          <cell r="C397" t="str">
            <v>C.F</v>
          </cell>
          <cell r="D397" t="str">
            <v xml:space="preserve">DIRECTION DENERALE DES FORETS </v>
          </cell>
          <cell r="E397" t="str">
            <v>NK5.226.2.262.128.11.32</v>
          </cell>
        </row>
        <row r="398">
          <cell r="A398" t="str">
            <v>NK522621133</v>
          </cell>
          <cell r="B398" t="str">
            <v>PCCE</v>
          </cell>
          <cell r="C398" t="str">
            <v>C.F</v>
          </cell>
          <cell r="D398" t="str">
            <v xml:space="preserve">DIRECTION DENERALE DES FORETS </v>
          </cell>
          <cell r="E398" t="str">
            <v>NK5.226.2.262.128.11.33</v>
          </cell>
        </row>
        <row r="399">
          <cell r="A399" t="str">
            <v>NK522621234</v>
          </cell>
          <cell r="B399" t="str">
            <v>PCCE</v>
          </cell>
          <cell r="C399" t="str">
            <v>C.F</v>
          </cell>
          <cell r="D399" t="str">
            <v xml:space="preserve">DIRECTION DENERALE DES FORETS </v>
          </cell>
          <cell r="E399" t="str">
            <v>NK5.226.2.262.128.12.34</v>
          </cell>
        </row>
        <row r="400">
          <cell r="A400" t="str">
            <v>NK522621235</v>
          </cell>
          <cell r="B400" t="str">
            <v>PCCE</v>
          </cell>
          <cell r="C400" t="str">
            <v>C.F</v>
          </cell>
          <cell r="D400" t="str">
            <v xml:space="preserve">DIRECTION DENERALE DES FORETS </v>
          </cell>
          <cell r="E400" t="str">
            <v>NK5.226.2.262.128.12.35</v>
          </cell>
        </row>
        <row r="401">
          <cell r="A401" t="str">
            <v>NK522681105</v>
          </cell>
          <cell r="B401" t="str">
            <v>PCCE</v>
          </cell>
          <cell r="C401" t="str">
            <v>C.F</v>
          </cell>
          <cell r="D401" t="str">
            <v xml:space="preserve">DIRECTION DENERALE DES FORETS </v>
          </cell>
          <cell r="E401" t="str">
            <v>NK5.226.8.262.128.11.05</v>
          </cell>
        </row>
        <row r="402">
          <cell r="A402" t="str">
            <v>NK522681106</v>
          </cell>
          <cell r="B402" t="str">
            <v>PCCE</v>
          </cell>
          <cell r="C402" t="str">
            <v>C.F</v>
          </cell>
          <cell r="D402" t="str">
            <v xml:space="preserve">DIRECTION DENERALE DES FORETS </v>
          </cell>
          <cell r="E402" t="str">
            <v>NK5.226.8.262.128.11.06</v>
          </cell>
        </row>
        <row r="403">
          <cell r="A403" t="str">
            <v>NK522681107</v>
          </cell>
          <cell r="B403" t="str">
            <v>PCCE</v>
          </cell>
          <cell r="C403" t="str">
            <v>C.F</v>
          </cell>
          <cell r="D403" t="str">
            <v xml:space="preserve">DIRECTION DENERALE DES FORETS </v>
          </cell>
          <cell r="E403" t="str">
            <v>NK5.226.8.262.128.11.07</v>
          </cell>
        </row>
        <row r="404">
          <cell r="A404" t="str">
            <v>NK522681408</v>
          </cell>
          <cell r="B404" t="str">
            <v>PCCE</v>
          </cell>
          <cell r="C404" t="str">
            <v>CF</v>
          </cell>
          <cell r="D404" t="str">
            <v xml:space="preserve">DIRECTION DENERALE DES FORETS </v>
          </cell>
          <cell r="E404" t="str">
            <v>NK5.226.8.262.128.14.08</v>
          </cell>
        </row>
        <row r="405">
          <cell r="A405" t="str">
            <v>NK522681409</v>
          </cell>
          <cell r="B405" t="str">
            <v>PCCE</v>
          </cell>
          <cell r="C405" t="str">
            <v>CF</v>
          </cell>
          <cell r="D405" t="str">
            <v xml:space="preserve">DIRECTION DENERALE DES FORETS </v>
          </cell>
          <cell r="E405" t="str">
            <v>NK5.226.8.262.128.14.09</v>
          </cell>
        </row>
        <row r="406">
          <cell r="A406" t="str">
            <v>NK522681410</v>
          </cell>
          <cell r="B406" t="str">
            <v>PCCE</v>
          </cell>
          <cell r="C406" t="str">
            <v>CF</v>
          </cell>
          <cell r="D406" t="str">
            <v xml:space="preserve">DIRECTION DENERALE DES FORETS </v>
          </cell>
          <cell r="E406" t="str">
            <v>NK5.226.8.262.128.14.10</v>
          </cell>
        </row>
        <row r="407">
          <cell r="A407" t="str">
            <v>NK5227--14--</v>
          </cell>
          <cell r="B407" t="str">
            <v>PCCE</v>
          </cell>
          <cell r="C407" t="str">
            <v>CF</v>
          </cell>
          <cell r="D407" t="str">
            <v xml:space="preserve">DIRECTION DENERALE DES FORETS </v>
          </cell>
          <cell r="E407" t="str">
            <v>NK5.227.--.262.128.14.--</v>
          </cell>
        </row>
        <row r="408">
          <cell r="A408" t="str">
            <v>NK522711101</v>
          </cell>
          <cell r="B408" t="str">
            <v>PCCE</v>
          </cell>
          <cell r="C408" t="str">
            <v>C.F</v>
          </cell>
          <cell r="D408" t="str">
            <v xml:space="preserve">DIRECTION DENERALE DES FORETS </v>
          </cell>
          <cell r="E408" t="str">
            <v>NK5.227.1.262.128.11.01</v>
          </cell>
        </row>
        <row r="409">
          <cell r="A409" t="str">
            <v>NK522711202</v>
          </cell>
          <cell r="B409" t="str">
            <v>PCCE</v>
          </cell>
          <cell r="C409" t="str">
            <v>C.F</v>
          </cell>
          <cell r="D409" t="str">
            <v xml:space="preserve">DIRECTION DENERALE DES FORETS </v>
          </cell>
          <cell r="E409" t="str">
            <v>NK5.227.1.262.128.12.02</v>
          </cell>
        </row>
        <row r="410">
          <cell r="A410" t="str">
            <v>NK522721013</v>
          </cell>
          <cell r="B410" t="str">
            <v>PCCE</v>
          </cell>
          <cell r="C410" t="str">
            <v>C.F</v>
          </cell>
          <cell r="D410" t="str">
            <v xml:space="preserve">DIRECTION DENERALE DES FORETS </v>
          </cell>
          <cell r="E410" t="str">
            <v>NK5.227.2.262.128.10.13</v>
          </cell>
        </row>
        <row r="411">
          <cell r="A411" t="str">
            <v>NK522721014</v>
          </cell>
          <cell r="B411" t="str">
            <v>PCCE</v>
          </cell>
          <cell r="C411" t="str">
            <v>C.F</v>
          </cell>
          <cell r="D411" t="str">
            <v xml:space="preserve">DIRECTION DENERALE DES FORETS </v>
          </cell>
          <cell r="E411" t="str">
            <v>NK5.227.2.262.128.10.14</v>
          </cell>
        </row>
        <row r="412">
          <cell r="A412" t="str">
            <v>NK522721115</v>
          </cell>
          <cell r="B412" t="str">
            <v>PCCE</v>
          </cell>
          <cell r="C412" t="str">
            <v>C.F</v>
          </cell>
          <cell r="D412" t="str">
            <v xml:space="preserve">DIRECTION DENERALE DES FORETS </v>
          </cell>
          <cell r="E412" t="str">
            <v>NK5.227.2.262.128.11.15</v>
          </cell>
        </row>
        <row r="413">
          <cell r="A413" t="str">
            <v>NK522721116</v>
          </cell>
          <cell r="B413" t="str">
            <v>PCCE</v>
          </cell>
          <cell r="C413" t="str">
            <v>C.F</v>
          </cell>
          <cell r="D413" t="str">
            <v xml:space="preserve">DIRECTION DENERALE DES FORETS </v>
          </cell>
          <cell r="E413" t="str">
            <v>NK5.227.2.262.128.11.16</v>
          </cell>
        </row>
        <row r="414">
          <cell r="A414" t="str">
            <v>NK522721217</v>
          </cell>
          <cell r="B414" t="str">
            <v>PCCE</v>
          </cell>
          <cell r="C414" t="str">
            <v>C.F</v>
          </cell>
          <cell r="D414" t="str">
            <v xml:space="preserve">DIRECTION DENERALE DES FORETS </v>
          </cell>
          <cell r="E414" t="str">
            <v>NK5.227.2.262.128.12.17</v>
          </cell>
        </row>
        <row r="415">
          <cell r="A415" t="str">
            <v>NK522721218</v>
          </cell>
          <cell r="B415" t="str">
            <v>PCCE</v>
          </cell>
          <cell r="C415" t="str">
            <v>C.F</v>
          </cell>
          <cell r="D415" t="str">
            <v xml:space="preserve">DIRECTION DENERALE DES FORETS </v>
          </cell>
          <cell r="E415" t="str">
            <v>NK5.227.2.262.128.12.18</v>
          </cell>
        </row>
        <row r="416">
          <cell r="A416" t="str">
            <v>NK522721219</v>
          </cell>
          <cell r="B416" t="str">
            <v>PCCE</v>
          </cell>
          <cell r="C416" t="str">
            <v>C.F</v>
          </cell>
          <cell r="D416" t="str">
            <v xml:space="preserve">DIRECTION DENERALE DES FORETS </v>
          </cell>
          <cell r="E416" t="str">
            <v>NK5.227.2.262.128.12.19</v>
          </cell>
        </row>
        <row r="417">
          <cell r="A417" t="str">
            <v>NK522751004</v>
          </cell>
          <cell r="B417" t="str">
            <v>PCCE</v>
          </cell>
          <cell r="C417" t="str">
            <v>C.F</v>
          </cell>
          <cell r="D417" t="str">
            <v xml:space="preserve">DIRECTION DENERALE DES FORETS </v>
          </cell>
          <cell r="E417" t="str">
            <v>NK5.227.5.262.128.10.04</v>
          </cell>
        </row>
        <row r="418">
          <cell r="A418" t="str">
            <v>NK522781016</v>
          </cell>
          <cell r="B418" t="str">
            <v>PCCE</v>
          </cell>
          <cell r="C418" t="str">
            <v>C.F</v>
          </cell>
          <cell r="D418" t="str">
            <v xml:space="preserve">DIRECTION DENERALE DES FORETS </v>
          </cell>
          <cell r="E418" t="str">
            <v>NK5.227.8.262.128.10.16</v>
          </cell>
        </row>
        <row r="419">
          <cell r="A419" t="str">
            <v>NK522781117</v>
          </cell>
          <cell r="B419" t="str">
            <v>PCCE</v>
          </cell>
          <cell r="C419" t="str">
            <v>C.F</v>
          </cell>
          <cell r="D419" t="str">
            <v xml:space="preserve">DIRECTION DENERALE DES FORETS </v>
          </cell>
          <cell r="E419" t="str">
            <v>NK5.227.8.262.128.11.17</v>
          </cell>
        </row>
        <row r="420">
          <cell r="A420" t="str">
            <v>NK522781118</v>
          </cell>
          <cell r="B420" t="str">
            <v>PCCE</v>
          </cell>
          <cell r="C420" t="str">
            <v>C.F</v>
          </cell>
          <cell r="D420" t="str">
            <v xml:space="preserve">DIRECTION DENERALE DES FORETS </v>
          </cell>
          <cell r="E420" t="str">
            <v>NK5.227.8.262.128.11.18</v>
          </cell>
        </row>
        <row r="421">
          <cell r="A421" t="str">
            <v>NK522781119</v>
          </cell>
          <cell r="B421" t="str">
            <v>PCCE</v>
          </cell>
          <cell r="C421" t="str">
            <v>C.F</v>
          </cell>
          <cell r="D421" t="str">
            <v xml:space="preserve">DIRECTION DENERALE DES FORETS </v>
          </cell>
          <cell r="E421" t="str">
            <v>NK5.227.8.262.128.11.19</v>
          </cell>
        </row>
        <row r="422">
          <cell r="A422" t="str">
            <v>NK522781221</v>
          </cell>
          <cell r="B422" t="str">
            <v>PCCE</v>
          </cell>
          <cell r="C422" t="str">
            <v>C.F</v>
          </cell>
          <cell r="D422" t="str">
            <v xml:space="preserve">DIRECTION DENERALE DES FORETS </v>
          </cell>
          <cell r="E422" t="str">
            <v>NK5.227.8.262.128.12.21</v>
          </cell>
        </row>
        <row r="423">
          <cell r="A423" t="str">
            <v>NK522781222</v>
          </cell>
          <cell r="B423" t="str">
            <v>PCCE</v>
          </cell>
          <cell r="C423" t="str">
            <v>C.F</v>
          </cell>
          <cell r="D423" t="str">
            <v xml:space="preserve">DIRECTION DENERALE DES FORETS </v>
          </cell>
          <cell r="E423" t="str">
            <v>NK5.227.8.262.128.12.22</v>
          </cell>
        </row>
        <row r="424">
          <cell r="A424" t="str">
            <v>NK522781223</v>
          </cell>
          <cell r="B424" t="str">
            <v>PCCE</v>
          </cell>
          <cell r="C424" t="str">
            <v>C.F</v>
          </cell>
          <cell r="D424" t="str">
            <v xml:space="preserve">DIRECTION DENERALE DES FORETS </v>
          </cell>
          <cell r="E424" t="str">
            <v>NK5.227.8.262.128.12.23</v>
          </cell>
        </row>
        <row r="425">
          <cell r="A425" t="str">
            <v>NK522781224</v>
          </cell>
          <cell r="B425" t="str">
            <v>PCCE</v>
          </cell>
          <cell r="C425" t="str">
            <v>C.F</v>
          </cell>
          <cell r="D425" t="str">
            <v xml:space="preserve">DIRECTION DENERALE DES FORETS </v>
          </cell>
          <cell r="E425" t="str">
            <v>NK5.227.8.262.128.12.24</v>
          </cell>
        </row>
        <row r="426">
          <cell r="A426" t="str">
            <v>NK5322--14--</v>
          </cell>
          <cell r="B426" t="str">
            <v>PCCE</v>
          </cell>
          <cell r="C426" t="str">
            <v xml:space="preserve">DRE </v>
          </cell>
          <cell r="D426" t="str">
            <v xml:space="preserve">MINISTERE DES RESOURCES EN EAU </v>
          </cell>
          <cell r="E426" t="str">
            <v>NK5.322.--.262.128.14.--</v>
          </cell>
        </row>
        <row r="427">
          <cell r="A427" t="str">
            <v>NK532221029</v>
          </cell>
          <cell r="B427" t="str">
            <v>PCCE</v>
          </cell>
          <cell r="C427" t="str">
            <v>DRE</v>
          </cell>
          <cell r="D427" t="str">
            <v xml:space="preserve">MINISTERE DES RESOURCES EN EAU </v>
          </cell>
          <cell r="E427" t="str">
            <v>NK5.322.2.262.128.10.29</v>
          </cell>
        </row>
        <row r="428">
          <cell r="A428" t="str">
            <v>NK532221130</v>
          </cell>
          <cell r="B428" t="str">
            <v>PCCE</v>
          </cell>
          <cell r="C428" t="str">
            <v>DRE</v>
          </cell>
          <cell r="D428" t="str">
            <v xml:space="preserve">MINISTERE DES RESOURCES EN EAU </v>
          </cell>
          <cell r="E428" t="str">
            <v>NK5.322.2.262.128.11.30</v>
          </cell>
        </row>
        <row r="429">
          <cell r="A429" t="str">
            <v>NK532361106</v>
          </cell>
          <cell r="B429" t="str">
            <v>PCCE</v>
          </cell>
          <cell r="C429" t="str">
            <v>DRE</v>
          </cell>
          <cell r="D429" t="str">
            <v xml:space="preserve">MINISTERE DES RESOURCES EN EAU </v>
          </cell>
          <cell r="E429" t="str">
            <v>NK5.323.6.262.128.11.06</v>
          </cell>
        </row>
        <row r="430">
          <cell r="A430" t="str">
            <v>NK533321111</v>
          </cell>
          <cell r="B430" t="str">
            <v>PCCE</v>
          </cell>
          <cell r="C430" t="str">
            <v>DRE</v>
          </cell>
          <cell r="D430" t="str">
            <v xml:space="preserve">MINISTERE DES RESOURCES EN EAU </v>
          </cell>
          <cell r="E430" t="str">
            <v>NK5.333.2.262.128.11.11</v>
          </cell>
        </row>
        <row r="431">
          <cell r="A431" t="str">
            <v>NK5341--14--</v>
          </cell>
          <cell r="B431" t="str">
            <v>PCCE</v>
          </cell>
          <cell r="C431" t="str">
            <v xml:space="preserve">DRE </v>
          </cell>
          <cell r="D431" t="str">
            <v xml:space="preserve">MINISTERE DES RESOURCES EN EAU </v>
          </cell>
          <cell r="E431" t="str">
            <v>NK5.341.--.262.128.14.--</v>
          </cell>
        </row>
        <row r="432">
          <cell r="A432" t="str">
            <v>NK5341--14--</v>
          </cell>
          <cell r="B432" t="str">
            <v>PCCE</v>
          </cell>
          <cell r="C432" t="str">
            <v xml:space="preserve">DRE </v>
          </cell>
          <cell r="D432" t="str">
            <v xml:space="preserve">MINISTERE DES RESOURCES EN EAU </v>
          </cell>
          <cell r="E432" t="str">
            <v>NK5.341.--.262.128.14.--</v>
          </cell>
        </row>
        <row r="433">
          <cell r="A433" t="str">
            <v>NK534121022</v>
          </cell>
          <cell r="B433" t="str">
            <v>PCCE</v>
          </cell>
          <cell r="C433" t="str">
            <v>DRE</v>
          </cell>
          <cell r="D433" t="str">
            <v xml:space="preserve">MINISTERE DES RESOURCES EN EAU </v>
          </cell>
          <cell r="E433" t="str">
            <v>NK5.341.2.262.128.10.22</v>
          </cell>
        </row>
        <row r="434">
          <cell r="A434" t="str">
            <v>NK534121223</v>
          </cell>
          <cell r="B434" t="str">
            <v>PCCE</v>
          </cell>
          <cell r="C434" t="str">
            <v>DRE</v>
          </cell>
          <cell r="D434" t="str">
            <v xml:space="preserve">MINISTERE DES RESOURCES EN EAU </v>
          </cell>
          <cell r="E434" t="str">
            <v>NK5.341.2.262.128.12.23</v>
          </cell>
        </row>
        <row r="435">
          <cell r="A435" t="str">
            <v>NK534141003</v>
          </cell>
          <cell r="B435" t="str">
            <v>PCCE</v>
          </cell>
          <cell r="C435" t="str">
            <v>DRE</v>
          </cell>
          <cell r="D435" t="str">
            <v xml:space="preserve">MINISTERE DES RESOURCES EN EAU </v>
          </cell>
          <cell r="E435" t="str">
            <v>NK5.341.4.262.128.10.03</v>
          </cell>
        </row>
        <row r="436">
          <cell r="A436" t="str">
            <v>NK534191001</v>
          </cell>
          <cell r="B436" t="str">
            <v>PCCE</v>
          </cell>
          <cell r="C436" t="str">
            <v>DRE</v>
          </cell>
          <cell r="D436" t="str">
            <v xml:space="preserve">MINISTERE DES RESOURCES EN EAU </v>
          </cell>
          <cell r="E436" t="str">
            <v>NK5.341.9.262.128.10.01</v>
          </cell>
        </row>
        <row r="437">
          <cell r="A437" t="str">
            <v>NK534221222</v>
          </cell>
          <cell r="B437" t="str">
            <v>PCCE</v>
          </cell>
          <cell r="C437" t="str">
            <v>DRE</v>
          </cell>
          <cell r="D437" t="str">
            <v xml:space="preserve">MINISTERE DES RESOURCES EN EAU </v>
          </cell>
          <cell r="E437" t="str">
            <v>NK5.342.2.262.128.12.22</v>
          </cell>
        </row>
        <row r="438">
          <cell r="A438" t="str">
            <v>NK534231003</v>
          </cell>
          <cell r="B438" t="str">
            <v>PCCE</v>
          </cell>
          <cell r="C438" t="str">
            <v>DRE</v>
          </cell>
          <cell r="D438" t="str">
            <v xml:space="preserve">MINISTERE DES RESOURCES EN EAU </v>
          </cell>
          <cell r="E438" t="str">
            <v>NK5.342.3.262.128.10.03</v>
          </cell>
        </row>
        <row r="439">
          <cell r="A439" t="str">
            <v>NK534261021</v>
          </cell>
          <cell r="B439" t="str">
            <v>PCCE</v>
          </cell>
          <cell r="C439" t="str">
            <v>DRE</v>
          </cell>
          <cell r="D439" t="str">
            <v xml:space="preserve">MINISTERE DES RESOURCES EN EAU </v>
          </cell>
          <cell r="E439" t="str">
            <v>NK5.342.6.262.128.10.21</v>
          </cell>
        </row>
        <row r="440">
          <cell r="A440" t="str">
            <v>NK534291001</v>
          </cell>
          <cell r="B440" t="str">
            <v>PCCE</v>
          </cell>
          <cell r="C440" t="str">
            <v>DRE</v>
          </cell>
          <cell r="D440" t="str">
            <v xml:space="preserve">MINISTERE DES RESOURCES EN EAU </v>
          </cell>
          <cell r="E440" t="str">
            <v>NK5.342.9.262.128.10.01</v>
          </cell>
        </row>
        <row r="441">
          <cell r="A441" t="str">
            <v>NK534291002</v>
          </cell>
          <cell r="B441" t="str">
            <v>PCCE</v>
          </cell>
          <cell r="C441" t="str">
            <v>DRE</v>
          </cell>
          <cell r="D441" t="str">
            <v xml:space="preserve">MINISTERE DES RESOURCES EN EAU </v>
          </cell>
          <cell r="E441" t="str">
            <v>NK5.342.9.262.128.10.02</v>
          </cell>
        </row>
        <row r="442">
          <cell r="A442" t="str">
            <v>NK534291103</v>
          </cell>
          <cell r="B442" t="str">
            <v>PCCE</v>
          </cell>
          <cell r="C442" t="str">
            <v>DRE</v>
          </cell>
          <cell r="D442" t="str">
            <v xml:space="preserve">MINISTERE DES RESOURCES EN EAU </v>
          </cell>
          <cell r="E442" t="str">
            <v>NK5.342.9.262.128.11.03</v>
          </cell>
        </row>
        <row r="443">
          <cell r="A443" t="str">
            <v>NK5352--14--</v>
          </cell>
          <cell r="B443" t="str">
            <v>PCCE</v>
          </cell>
          <cell r="C443" t="str">
            <v>D ENVI</v>
          </cell>
          <cell r="D443" t="str">
            <v xml:space="preserve">MINISTERE DE L'ENVIRONNOMENT </v>
          </cell>
          <cell r="E443" t="str">
            <v>NK5.352.--.262.128.14.--</v>
          </cell>
        </row>
        <row r="444">
          <cell r="A444" t="str">
            <v>NK535211107</v>
          </cell>
          <cell r="B444" t="str">
            <v>PCCE</v>
          </cell>
          <cell r="C444" t="str">
            <v>D ENVI</v>
          </cell>
          <cell r="D444" t="str">
            <v xml:space="preserve">MINISTERE DE L'ENVIRONNOMENT </v>
          </cell>
          <cell r="E444" t="str">
            <v>NK5.352.1.262.128.11.07</v>
          </cell>
        </row>
        <row r="445">
          <cell r="A445" t="str">
            <v>NK535221005</v>
          </cell>
          <cell r="B445" t="str">
            <v>PCCE</v>
          </cell>
          <cell r="C445" t="str">
            <v>D ENVI</v>
          </cell>
          <cell r="D445" t="str">
            <v xml:space="preserve">MINISTERE DE L'ENVIRONNOMENT </v>
          </cell>
          <cell r="E445" t="str">
            <v>NK5.352.2.262.128.10.05</v>
          </cell>
        </row>
        <row r="446">
          <cell r="A446" t="str">
            <v>NK535221106</v>
          </cell>
          <cell r="B446" t="str">
            <v>PCCE</v>
          </cell>
          <cell r="C446" t="str">
            <v>D ENVI</v>
          </cell>
          <cell r="D446" t="str">
            <v xml:space="preserve">MINISTERE DE L'ENVIRONNOMENT </v>
          </cell>
          <cell r="E446" t="str">
            <v>NK5.352.2.262.128.11.06</v>
          </cell>
        </row>
        <row r="447">
          <cell r="A447" t="str">
            <v>NK535221107</v>
          </cell>
          <cell r="B447" t="str">
            <v>PCCE</v>
          </cell>
          <cell r="C447" t="str">
            <v>D ENVI</v>
          </cell>
          <cell r="D447" t="str">
            <v xml:space="preserve">MINISTERE DE L'ENVIRONNOMENT </v>
          </cell>
          <cell r="E447" t="str">
            <v>NK5.352.2.262.128.11.07</v>
          </cell>
        </row>
        <row r="448">
          <cell r="A448" t="str">
            <v>NK535221308</v>
          </cell>
          <cell r="B448" t="str">
            <v>PCCE</v>
          </cell>
          <cell r="C448" t="str">
            <v>D ENVI</v>
          </cell>
          <cell r="D448" t="str">
            <v xml:space="preserve">MINISTERE DE L'ENVIRONNOMENT </v>
          </cell>
          <cell r="E448" t="str">
            <v>NK5.352.2.262.128.13.08</v>
          </cell>
        </row>
        <row r="449">
          <cell r="A449" t="str">
            <v>NK535221309</v>
          </cell>
          <cell r="B449" t="str">
            <v>PCCE</v>
          </cell>
          <cell r="C449" t="str">
            <v>D ENVI</v>
          </cell>
          <cell r="D449" t="str">
            <v xml:space="preserve">MINISTERE DE L'ENVIRONNOMENT </v>
          </cell>
          <cell r="E449" t="str">
            <v>NK5.352.2.262.128.13.09</v>
          </cell>
        </row>
        <row r="450">
          <cell r="A450" t="str">
            <v>NK535291009</v>
          </cell>
          <cell r="B450" t="str">
            <v>PCCE</v>
          </cell>
          <cell r="C450" t="str">
            <v>D ENVI</v>
          </cell>
          <cell r="D450" t="str">
            <v xml:space="preserve">MINISTERE DE L'ENVIRONNOMENT </v>
          </cell>
          <cell r="E450" t="str">
            <v>NK5.352.9.262.128.10.09</v>
          </cell>
        </row>
        <row r="451">
          <cell r="A451" t="str">
            <v>NK535291211</v>
          </cell>
          <cell r="B451" t="str">
            <v>PCCE</v>
          </cell>
          <cell r="C451" t="str">
            <v>D ENVI</v>
          </cell>
          <cell r="D451" t="str">
            <v xml:space="preserve">MINISTERE DE L'ENVIRONNOMENT </v>
          </cell>
          <cell r="E451" t="str">
            <v>NK5.352.9.262.128.12.11</v>
          </cell>
        </row>
        <row r="452">
          <cell r="A452" t="str">
            <v>NK535291215</v>
          </cell>
          <cell r="B452" t="str">
            <v>PCCE</v>
          </cell>
          <cell r="C452" t="str">
            <v>D ENVI</v>
          </cell>
          <cell r="D452" t="str">
            <v xml:space="preserve">MINISTERE DE L'ENVIRONNOMENT </v>
          </cell>
          <cell r="E452" t="str">
            <v>NK5.352.9.262.128.12.15</v>
          </cell>
        </row>
        <row r="453">
          <cell r="A453" t="str">
            <v>NK535291315</v>
          </cell>
          <cell r="B453" t="str">
            <v>PCCE</v>
          </cell>
          <cell r="C453" t="str">
            <v>D ENVI</v>
          </cell>
          <cell r="D453" t="str">
            <v xml:space="preserve">MINISTERE DE L'ENVIRONNOMENT </v>
          </cell>
          <cell r="E453" t="str">
            <v>NK5.352.9.262.128.13.15</v>
          </cell>
        </row>
        <row r="454">
          <cell r="A454" t="str">
            <v>NK5411--14--</v>
          </cell>
          <cell r="B454" t="str">
            <v>PCCE</v>
          </cell>
          <cell r="C454" t="str">
            <v>DT</v>
          </cell>
          <cell r="D454" t="str">
            <v>MINISTERE DES TRAVAUX PUBLIC</v>
          </cell>
          <cell r="E454" t="str">
            <v>NK5.411.--.262.128.14.--</v>
          </cell>
        </row>
        <row r="455">
          <cell r="A455" t="str">
            <v>NK541111003</v>
          </cell>
          <cell r="B455" t="str">
            <v>PCCE</v>
          </cell>
          <cell r="C455" t="str">
            <v>DT</v>
          </cell>
          <cell r="D455" t="str">
            <v>MINISTERE DES TRAVAUX PUBLIC</v>
          </cell>
          <cell r="E455" t="str">
            <v>NK5.411.1.262.128.10.03</v>
          </cell>
        </row>
        <row r="456">
          <cell r="A456" t="str">
            <v>NK541111104</v>
          </cell>
          <cell r="B456" t="str">
            <v>PCCE</v>
          </cell>
          <cell r="C456" t="str">
            <v>DT</v>
          </cell>
          <cell r="D456" t="str">
            <v>MINISTERE DES TRAVAUX PUBLIC</v>
          </cell>
          <cell r="E456" t="str">
            <v>NK5.411.1.262.128.11.04</v>
          </cell>
        </row>
        <row r="457">
          <cell r="A457" t="str">
            <v>NK551211001</v>
          </cell>
          <cell r="B457" t="str">
            <v>PCCE</v>
          </cell>
          <cell r="C457" t="str">
            <v>DT</v>
          </cell>
          <cell r="D457" t="str">
            <v>MINISTERE DES TRAVAUX PUBLIC</v>
          </cell>
          <cell r="E457" t="str">
            <v>NK5.512.1.262.128.10.01</v>
          </cell>
        </row>
        <row r="458">
          <cell r="A458" t="str">
            <v>NK551211002</v>
          </cell>
          <cell r="B458" t="str">
            <v>PCCE</v>
          </cell>
          <cell r="C458" t="str">
            <v>DT</v>
          </cell>
          <cell r="D458" t="str">
            <v>MINISTERE DES TRAVAUX PUBLIC</v>
          </cell>
          <cell r="E458" t="str">
            <v>NK5.512.1.262.128.10.02</v>
          </cell>
        </row>
        <row r="459">
          <cell r="A459" t="str">
            <v>NK551211003</v>
          </cell>
          <cell r="B459" t="str">
            <v>PCCE</v>
          </cell>
          <cell r="C459" t="str">
            <v>DT</v>
          </cell>
          <cell r="D459" t="str">
            <v>MINISTERE DES TRAVAUX PUBLIC</v>
          </cell>
          <cell r="E459" t="str">
            <v>NK5.512.1.262.128.10.03</v>
          </cell>
        </row>
        <row r="460">
          <cell r="A460" t="str">
            <v>NK552111209</v>
          </cell>
          <cell r="B460" t="str">
            <v>PCCE</v>
          </cell>
          <cell r="C460" t="str">
            <v xml:space="preserve">DTP </v>
          </cell>
          <cell r="D460" t="str">
            <v>MINISTERE DES TRAVAUX PUBLIC</v>
          </cell>
          <cell r="E460" t="str">
            <v>NK5.521.1.262.128.12.09</v>
          </cell>
        </row>
        <row r="461">
          <cell r="A461" t="str">
            <v>NK552121209</v>
          </cell>
          <cell r="B461" t="str">
            <v>PCCE</v>
          </cell>
          <cell r="C461" t="str">
            <v xml:space="preserve">DTP </v>
          </cell>
          <cell r="D461" t="str">
            <v>MINISTERE DES TRAVAUX PUBLIC</v>
          </cell>
          <cell r="E461" t="str">
            <v>NK5.521.2.262.128.12.09</v>
          </cell>
        </row>
        <row r="462">
          <cell r="A462" t="str">
            <v>NK552151010</v>
          </cell>
          <cell r="B462" t="str">
            <v>PCCE</v>
          </cell>
          <cell r="C462" t="str">
            <v xml:space="preserve">DTP </v>
          </cell>
          <cell r="D462" t="str">
            <v>MINISTERE DES TRAVAUX PUBLIC</v>
          </cell>
          <cell r="E462" t="str">
            <v>NK5.521.5.262.128.10.10</v>
          </cell>
        </row>
        <row r="463">
          <cell r="A463" t="str">
            <v>NK552181018</v>
          </cell>
          <cell r="B463" t="str">
            <v>PCCE</v>
          </cell>
          <cell r="C463" t="str">
            <v xml:space="preserve">DTP </v>
          </cell>
          <cell r="D463" t="str">
            <v>MINISTERE DES TRAVAUX PUBLIC</v>
          </cell>
          <cell r="E463" t="str">
            <v>NK5.521.8.262.128.10.18</v>
          </cell>
        </row>
        <row r="464">
          <cell r="A464" t="str">
            <v>NK552181019</v>
          </cell>
          <cell r="B464" t="str">
            <v>PCCE</v>
          </cell>
          <cell r="C464" t="str">
            <v xml:space="preserve">DTP </v>
          </cell>
          <cell r="D464" t="str">
            <v>MINISTERE DES TRAVAUX PUBLIC</v>
          </cell>
          <cell r="E464" t="str">
            <v>NK5.521.8.262.128.10.19</v>
          </cell>
        </row>
        <row r="465">
          <cell r="A465" t="str">
            <v>NK552181020</v>
          </cell>
          <cell r="B465" t="str">
            <v>PCCE</v>
          </cell>
          <cell r="C465" t="str">
            <v xml:space="preserve">DTP </v>
          </cell>
          <cell r="D465" t="str">
            <v>MINISTERE DES TRAVAUX PUBLIC</v>
          </cell>
          <cell r="E465" t="str">
            <v>NK5.521.8.262.128.10.20</v>
          </cell>
        </row>
        <row r="466">
          <cell r="A466" t="str">
            <v>NK552181021</v>
          </cell>
          <cell r="B466" t="str">
            <v>PCCE</v>
          </cell>
          <cell r="C466" t="str">
            <v xml:space="preserve">DTP </v>
          </cell>
          <cell r="D466" t="str">
            <v>MINISTERE DES TRAVAUX PUBLIC</v>
          </cell>
          <cell r="E466" t="str">
            <v>NK5.521.8.262.128.10.21</v>
          </cell>
        </row>
        <row r="467">
          <cell r="A467" t="str">
            <v>NK552181122</v>
          </cell>
          <cell r="B467" t="str">
            <v>PCCE</v>
          </cell>
          <cell r="C467" t="str">
            <v xml:space="preserve">DTP </v>
          </cell>
          <cell r="D467" t="str">
            <v>MINISTERE DES TRAVAUX PUBLIC</v>
          </cell>
          <cell r="E467" t="str">
            <v>NK5.521.8.262.128.11.22</v>
          </cell>
        </row>
        <row r="468">
          <cell r="A468" t="str">
            <v>NK552181123</v>
          </cell>
          <cell r="B468" t="str">
            <v>PCCE</v>
          </cell>
          <cell r="C468" t="str">
            <v xml:space="preserve">DTP </v>
          </cell>
          <cell r="D468" t="str">
            <v>MINISTERE DES TRAVAUX PUBLIC</v>
          </cell>
          <cell r="E468" t="str">
            <v>NK5.521.8.262.128.11.23</v>
          </cell>
        </row>
        <row r="469">
          <cell r="A469" t="str">
            <v>NK552181124</v>
          </cell>
          <cell r="B469" t="str">
            <v>PCCE</v>
          </cell>
          <cell r="C469" t="str">
            <v xml:space="preserve">DTP </v>
          </cell>
          <cell r="D469" t="str">
            <v>MINISTERE DES TRAVAUX PUBLIC</v>
          </cell>
          <cell r="E469" t="str">
            <v>NK5.521.8.262.128.11.24</v>
          </cell>
        </row>
        <row r="470">
          <cell r="A470" t="str">
            <v>NK552181225</v>
          </cell>
          <cell r="B470" t="str">
            <v>PCCE</v>
          </cell>
          <cell r="C470" t="str">
            <v xml:space="preserve">DTP </v>
          </cell>
          <cell r="D470" t="str">
            <v>MINISTERE DES TRAVAUX PUBLIC</v>
          </cell>
          <cell r="E470" t="str">
            <v>NK5.521.8.262.128.12.25</v>
          </cell>
        </row>
        <row r="471">
          <cell r="A471" t="str">
            <v>NK552181226</v>
          </cell>
          <cell r="B471" t="str">
            <v>PCCE</v>
          </cell>
          <cell r="C471" t="str">
            <v xml:space="preserve">DTP </v>
          </cell>
          <cell r="D471" t="str">
            <v>MINISTERE DES TRAVAUX PUBLIC</v>
          </cell>
          <cell r="E471" t="str">
            <v>NK5.521.8.262.128.12.26</v>
          </cell>
        </row>
        <row r="472">
          <cell r="A472" t="str">
            <v>NK552181227</v>
          </cell>
          <cell r="B472" t="str">
            <v>PCCE</v>
          </cell>
          <cell r="C472" t="str">
            <v xml:space="preserve">DTP </v>
          </cell>
          <cell r="D472" t="str">
            <v>MINISTERE DES TRAVAUX PUBLIC</v>
          </cell>
          <cell r="E472" t="str">
            <v>NK5.521.8.262.128.12.27</v>
          </cell>
        </row>
        <row r="473">
          <cell r="A473" t="str">
            <v>NK552181228</v>
          </cell>
          <cell r="B473" t="str">
            <v>PCCE</v>
          </cell>
          <cell r="C473" t="str">
            <v xml:space="preserve">DTP </v>
          </cell>
          <cell r="D473" t="str">
            <v>MINISTERE DES TRAVAUX PUBLIC</v>
          </cell>
          <cell r="E473" t="str">
            <v>NK5.521.8.262.128.12.28</v>
          </cell>
        </row>
        <row r="474">
          <cell r="A474" t="str">
            <v>NK552181229</v>
          </cell>
          <cell r="B474" t="str">
            <v>PCCE</v>
          </cell>
          <cell r="C474" t="str">
            <v xml:space="preserve">DTP </v>
          </cell>
          <cell r="D474" t="str">
            <v>MINISTERE DES TRAVAUX PUBLIC</v>
          </cell>
          <cell r="E474" t="str">
            <v>NK5.521.8.262.128.12.29</v>
          </cell>
        </row>
        <row r="475">
          <cell r="A475" t="str">
            <v>NK552211201</v>
          </cell>
          <cell r="B475" t="str">
            <v>PCCE</v>
          </cell>
          <cell r="C475" t="str">
            <v xml:space="preserve">DTP </v>
          </cell>
          <cell r="D475" t="str">
            <v>MINISTERE DES TRAVAUX PUBLIC</v>
          </cell>
          <cell r="E475" t="str">
            <v>NK5.522.1.262.128.12.01</v>
          </cell>
        </row>
        <row r="476">
          <cell r="A476" t="str">
            <v>NK552281210</v>
          </cell>
          <cell r="B476" t="str">
            <v>PCCE</v>
          </cell>
          <cell r="C476" t="str">
            <v xml:space="preserve">DTP </v>
          </cell>
          <cell r="D476" t="str">
            <v>MINISTERE DES TRAVAUX PUBLIC</v>
          </cell>
          <cell r="E476" t="str">
            <v>NK5.522.8.262.128.12.10</v>
          </cell>
        </row>
        <row r="477">
          <cell r="A477" t="str">
            <v>NK553511114</v>
          </cell>
          <cell r="B477" t="str">
            <v>PCCE</v>
          </cell>
          <cell r="C477" t="str">
            <v xml:space="preserve">DTP </v>
          </cell>
          <cell r="D477" t="str">
            <v>MINISTERE DES TRAVAUX PUBLIC</v>
          </cell>
          <cell r="E477" t="str">
            <v>NK5.535.1.262.128.11.14</v>
          </cell>
        </row>
        <row r="478">
          <cell r="A478" t="str">
            <v>NK554821003</v>
          </cell>
          <cell r="B478" t="str">
            <v>PCCE</v>
          </cell>
          <cell r="C478" t="str">
            <v>DLEP</v>
          </cell>
          <cell r="D478" t="str">
            <v xml:space="preserve">MINISTERE DE LA TELECOMMUNICATION </v>
          </cell>
          <cell r="E478" t="str">
            <v>NK5.548.2.262.128.10.03</v>
          </cell>
        </row>
        <row r="479">
          <cell r="A479" t="str">
            <v>NK554821004</v>
          </cell>
          <cell r="B479" t="str">
            <v>PCCE</v>
          </cell>
          <cell r="C479" t="str">
            <v xml:space="preserve">DLEP </v>
          </cell>
          <cell r="D479" t="str">
            <v xml:space="preserve">MINISTERE DE LA TELECOMMUNICATION </v>
          </cell>
          <cell r="E479" t="str">
            <v>NK5.548.2.262.128.10.04</v>
          </cell>
        </row>
        <row r="480">
          <cell r="A480" t="str">
            <v>NK554821005</v>
          </cell>
          <cell r="B480" t="str">
            <v>PCCE</v>
          </cell>
          <cell r="C480" t="str">
            <v>DLEP</v>
          </cell>
          <cell r="D480" t="str">
            <v xml:space="preserve">MINISTERE DE LA TELECOMMUNICATION </v>
          </cell>
          <cell r="E480" t="str">
            <v>NK5.548.2.262.128.10.05</v>
          </cell>
        </row>
        <row r="481">
          <cell r="A481" t="str">
            <v>NK554821006</v>
          </cell>
          <cell r="B481" t="str">
            <v>PCCE</v>
          </cell>
          <cell r="C481" t="str">
            <v>DLEP</v>
          </cell>
          <cell r="D481" t="str">
            <v xml:space="preserve">MINISTERE DE LA TELECOMMUNICATION </v>
          </cell>
          <cell r="E481" t="str">
            <v>NK5.548.2.262.128.10.06</v>
          </cell>
        </row>
        <row r="482">
          <cell r="A482" t="str">
            <v>NK554821007</v>
          </cell>
          <cell r="B482" t="str">
            <v>PCCE</v>
          </cell>
          <cell r="C482" t="str">
            <v>DLEP</v>
          </cell>
          <cell r="D482" t="str">
            <v xml:space="preserve">MINISTERE DE LA TELECOMMUNICATION </v>
          </cell>
          <cell r="E482" t="str">
            <v>NK5.548.2.262.128.10.07</v>
          </cell>
        </row>
        <row r="483">
          <cell r="A483" t="str">
            <v>NK5567--13--</v>
          </cell>
          <cell r="B483" t="str">
            <v>PCCE</v>
          </cell>
          <cell r="C483" t="str">
            <v>D COMM</v>
          </cell>
          <cell r="D483" t="str">
            <v xml:space="preserve">MINISTERE DU COMMERCE </v>
          </cell>
          <cell r="E483" t="str">
            <v>NK5.567.--.262.128.13.--</v>
          </cell>
        </row>
        <row r="484">
          <cell r="A484" t="str">
            <v>NK556721101</v>
          </cell>
          <cell r="B484" t="str">
            <v>PCCE</v>
          </cell>
          <cell r="C484" t="str">
            <v>D COMM</v>
          </cell>
          <cell r="D484" t="str">
            <v xml:space="preserve">MINISTERE DU COMMERCE </v>
          </cell>
          <cell r="E484" t="str">
            <v>NK5.567.2.262.128.11.01</v>
          </cell>
        </row>
        <row r="485">
          <cell r="A485" t="str">
            <v>NK557511401</v>
          </cell>
          <cell r="B485" t="str">
            <v>PCCE</v>
          </cell>
          <cell r="C485" t="str">
            <v>DUC</v>
          </cell>
          <cell r="D485" t="str">
            <v xml:space="preserve">MINISTERE DE L'HABITAT ET DE L'URBANISME </v>
          </cell>
          <cell r="E485" t="str">
            <v>NK5.575.1.262.128.14.01</v>
          </cell>
        </row>
        <row r="486">
          <cell r="A486" t="str">
            <v>NK5611--12--</v>
          </cell>
          <cell r="B486" t="str">
            <v>PCCE</v>
          </cell>
          <cell r="C486" t="str">
            <v>DCW</v>
          </cell>
          <cell r="D486" t="str">
            <v xml:space="preserve">MINISTERE DE LA CULTURE </v>
          </cell>
          <cell r="E486" t="str">
            <v>NK5.611.--.262.128.12.--</v>
          </cell>
        </row>
        <row r="487">
          <cell r="A487" t="str">
            <v>NK5621--11--</v>
          </cell>
          <cell r="B487" t="str">
            <v>PCCE</v>
          </cell>
          <cell r="C487" t="str">
            <v>DLEP</v>
          </cell>
          <cell r="D487" t="str">
            <v xml:space="preserve">MINISTERE DE L'ENSEIGNEMENT SUPERIEUR </v>
          </cell>
          <cell r="E487" t="str">
            <v>NK5.621.--.262.128.11.--</v>
          </cell>
        </row>
        <row r="488">
          <cell r="A488" t="str">
            <v>NK5621--11--</v>
          </cell>
          <cell r="B488" t="str">
            <v>PCCE</v>
          </cell>
          <cell r="C488" t="str">
            <v>DLEP</v>
          </cell>
          <cell r="D488" t="str">
            <v xml:space="preserve">MINISTERE DE L'ENSEIGNEMENT SUPERIEUR </v>
          </cell>
          <cell r="E488" t="str">
            <v>NK5.621.--.262.128.11.--</v>
          </cell>
        </row>
        <row r="489">
          <cell r="A489" t="str">
            <v>NK5621--11--</v>
          </cell>
          <cell r="B489" t="str">
            <v>PCCE</v>
          </cell>
          <cell r="C489" t="str">
            <v>DLEP</v>
          </cell>
          <cell r="D489" t="str">
            <v xml:space="preserve">MINISTERE DE L'ENSEIGNEMENT SUPERIEUR </v>
          </cell>
          <cell r="E489" t="str">
            <v>NK5.621.--.262.128.11.--</v>
          </cell>
        </row>
        <row r="490">
          <cell r="A490" t="str">
            <v>NK562111001</v>
          </cell>
          <cell r="B490" t="str">
            <v>PCCE</v>
          </cell>
          <cell r="C490" t="str">
            <v>DLEP</v>
          </cell>
          <cell r="D490" t="str">
            <v xml:space="preserve">MINISTERE DE L'ENSEIGNEMENT SUPERIEUR </v>
          </cell>
          <cell r="E490" t="str">
            <v>NK5.621.1.262.128.10.01</v>
          </cell>
        </row>
        <row r="491">
          <cell r="A491" t="str">
            <v>NK562111002</v>
          </cell>
          <cell r="B491" t="str">
            <v>PCCE</v>
          </cell>
          <cell r="C491" t="str">
            <v>DLEP</v>
          </cell>
          <cell r="D491" t="str">
            <v xml:space="preserve">MINISTERE DE L'ENSEIGNEMENT SUPERIEUR </v>
          </cell>
          <cell r="E491" t="str">
            <v>NK5.621.1.262.128.10.02</v>
          </cell>
        </row>
        <row r="492">
          <cell r="A492" t="str">
            <v>NK562111003</v>
          </cell>
          <cell r="B492" t="str">
            <v>PCCE</v>
          </cell>
          <cell r="C492" t="str">
            <v>DLEP</v>
          </cell>
          <cell r="D492" t="str">
            <v xml:space="preserve">MINISTERE DE L'ENSEIGNEMENT SUPERIEUR </v>
          </cell>
          <cell r="E492" t="str">
            <v>NK5.621.1.262.128.10.03</v>
          </cell>
        </row>
        <row r="493">
          <cell r="A493" t="str">
            <v>NK562131210</v>
          </cell>
          <cell r="B493" t="str">
            <v>PCCE</v>
          </cell>
          <cell r="C493" t="str">
            <v>DLEP</v>
          </cell>
          <cell r="D493" t="str">
            <v xml:space="preserve">MINISTERE DE L'ENSEIGNEMENT SUPERIEUR </v>
          </cell>
          <cell r="E493" t="str">
            <v>NK5.621.3.262.128.12.10</v>
          </cell>
        </row>
        <row r="494">
          <cell r="A494" t="str">
            <v>NK562131211</v>
          </cell>
          <cell r="B494" t="str">
            <v>PCCE</v>
          </cell>
          <cell r="C494" t="str">
            <v>DLEP</v>
          </cell>
          <cell r="D494" t="str">
            <v xml:space="preserve">MINISTERE DE L'ENSEIGNEMENT SUPERIEUR </v>
          </cell>
          <cell r="E494" t="str">
            <v>NK5.621.3.262.128.12.11</v>
          </cell>
        </row>
        <row r="495">
          <cell r="A495" t="str">
            <v>NK562151213</v>
          </cell>
          <cell r="B495" t="str">
            <v>PCCE</v>
          </cell>
          <cell r="C495" t="str">
            <v>DLEP</v>
          </cell>
          <cell r="D495" t="str">
            <v xml:space="preserve">MINISTERE DE L'ENSEIGNEMENT SUPERIEUR </v>
          </cell>
          <cell r="E495" t="str">
            <v>NK5.621.5.262.128.12.13</v>
          </cell>
        </row>
        <row r="496">
          <cell r="A496" t="str">
            <v>NK562151214</v>
          </cell>
          <cell r="B496" t="str">
            <v>PCCE</v>
          </cell>
          <cell r="C496" t="str">
            <v>DLEP</v>
          </cell>
          <cell r="D496" t="str">
            <v xml:space="preserve">MINISTERE DE L'ENSEIGNEMENT SUPERIEUR </v>
          </cell>
          <cell r="E496" t="str">
            <v>NK5.621.5.262.128.12.14</v>
          </cell>
        </row>
        <row r="497">
          <cell r="A497" t="str">
            <v>NK562181315</v>
          </cell>
          <cell r="B497" t="str">
            <v>PCCE</v>
          </cell>
          <cell r="C497" t="str">
            <v>DLEP</v>
          </cell>
          <cell r="D497" t="str">
            <v xml:space="preserve">MINISTERE DE L'ENSEIGNEMENT SUPERIEUR </v>
          </cell>
          <cell r="E497" t="str">
            <v>NK5.621.8.262.128.13.15</v>
          </cell>
        </row>
        <row r="498">
          <cell r="A498" t="str">
            <v>NK5622--12--</v>
          </cell>
          <cell r="B498" t="str">
            <v>PCCE</v>
          </cell>
          <cell r="C498" t="str">
            <v>DLEP</v>
          </cell>
          <cell r="D498" t="str">
            <v xml:space="preserve">MINISTERE DE L'EDUCATION </v>
          </cell>
          <cell r="E498" t="str">
            <v>NK5.622.--.262.128.12.--</v>
          </cell>
        </row>
        <row r="499">
          <cell r="A499" t="str">
            <v>NK5622--13--</v>
          </cell>
          <cell r="B499" t="str">
            <v>PCCE</v>
          </cell>
          <cell r="C499" t="str">
            <v xml:space="preserve">DLEP </v>
          </cell>
          <cell r="D499" t="str">
            <v xml:space="preserve">MINISTERE DE L'EDUCATION </v>
          </cell>
          <cell r="E499" t="str">
            <v>NK5.622.--.262.128.13.--</v>
          </cell>
        </row>
        <row r="500">
          <cell r="A500" t="str">
            <v>NK5622--13--</v>
          </cell>
          <cell r="B500" t="str">
            <v>PCCE</v>
          </cell>
          <cell r="C500" t="str">
            <v xml:space="preserve">DLEP </v>
          </cell>
          <cell r="D500" t="str">
            <v xml:space="preserve">MINISTERE DE L'EDUCATION </v>
          </cell>
          <cell r="E500" t="str">
            <v>NK5.622.--.262.128.13.--</v>
          </cell>
        </row>
        <row r="501">
          <cell r="A501" t="str">
            <v>NK5622--13--</v>
          </cell>
          <cell r="B501" t="str">
            <v>PCCE</v>
          </cell>
          <cell r="C501" t="str">
            <v xml:space="preserve">DLEP </v>
          </cell>
          <cell r="D501" t="str">
            <v xml:space="preserve">MINISTERE DE L'EDUCATION </v>
          </cell>
          <cell r="E501" t="str">
            <v>NK5.622.--.262.128.13.--</v>
          </cell>
        </row>
        <row r="502">
          <cell r="A502" t="str">
            <v>NK5622--14--</v>
          </cell>
          <cell r="B502" t="str">
            <v>PCCE</v>
          </cell>
          <cell r="C502" t="str">
            <v xml:space="preserve">DLEP </v>
          </cell>
          <cell r="D502" t="str">
            <v xml:space="preserve">MINISTERE DE L'EDUCATION </v>
          </cell>
          <cell r="E502" t="str">
            <v>NK5.622.--.262.128.14.--</v>
          </cell>
        </row>
        <row r="503">
          <cell r="A503" t="str">
            <v>NK5622--14--</v>
          </cell>
          <cell r="B503" t="str">
            <v>PCCE</v>
          </cell>
          <cell r="C503" t="str">
            <v xml:space="preserve">DLEP </v>
          </cell>
          <cell r="D503" t="str">
            <v xml:space="preserve">MINISTERE DE L'EDUCATION </v>
          </cell>
          <cell r="E503" t="str">
            <v>NK5.622.--.262.128.14.--</v>
          </cell>
        </row>
        <row r="504">
          <cell r="A504" t="str">
            <v>NK5622--14--</v>
          </cell>
          <cell r="B504" t="str">
            <v>PCCE</v>
          </cell>
          <cell r="C504" t="str">
            <v xml:space="preserve">DLEP </v>
          </cell>
          <cell r="D504" t="str">
            <v xml:space="preserve">MINISTERE DE L'EDUCATION </v>
          </cell>
          <cell r="E504" t="str">
            <v>NK5.622.--.262.128.14.--</v>
          </cell>
        </row>
        <row r="505">
          <cell r="A505" t="str">
            <v>NK5622--14--</v>
          </cell>
          <cell r="B505" t="str">
            <v>PCCE</v>
          </cell>
          <cell r="C505" t="str">
            <v xml:space="preserve">DLEP </v>
          </cell>
          <cell r="D505" t="str">
            <v xml:space="preserve">MINISTERE DE L'EDUCATION </v>
          </cell>
          <cell r="E505" t="str">
            <v>NK5.622.--.262.128.14.--</v>
          </cell>
        </row>
        <row r="506">
          <cell r="A506" t="str">
            <v>NK5622--14--</v>
          </cell>
          <cell r="B506" t="str">
            <v>PCCE</v>
          </cell>
          <cell r="C506" t="str">
            <v xml:space="preserve">DLEP </v>
          </cell>
          <cell r="D506" t="str">
            <v xml:space="preserve">MINISTERE DE L'EDUCATION </v>
          </cell>
          <cell r="E506" t="str">
            <v>NK5.622.--.262.128.14.--</v>
          </cell>
        </row>
        <row r="507">
          <cell r="A507" t="str">
            <v>NK5622--14--</v>
          </cell>
          <cell r="B507" t="str">
            <v>PCCE</v>
          </cell>
          <cell r="C507" t="str">
            <v xml:space="preserve">DLEP </v>
          </cell>
          <cell r="D507" t="str">
            <v xml:space="preserve">MINISTERE DE L'EDUCATION </v>
          </cell>
          <cell r="E507" t="str">
            <v>NK5.622.--.262.128.14.--</v>
          </cell>
        </row>
        <row r="508">
          <cell r="A508" t="str">
            <v>NK562211027</v>
          </cell>
          <cell r="B508" t="str">
            <v>PCCE</v>
          </cell>
          <cell r="C508" t="str">
            <v>DLEP</v>
          </cell>
          <cell r="D508" t="str">
            <v xml:space="preserve">MINISTERE DE L'EDUCATION </v>
          </cell>
          <cell r="E508" t="str">
            <v>NK5.622.1.262.128.10.27</v>
          </cell>
        </row>
        <row r="509">
          <cell r="A509" t="str">
            <v>NK562211028</v>
          </cell>
          <cell r="B509" t="str">
            <v>PCCE</v>
          </cell>
          <cell r="C509" t="str">
            <v>DLEP</v>
          </cell>
          <cell r="D509" t="str">
            <v xml:space="preserve">MINISTERE DE L'EDUCATION </v>
          </cell>
          <cell r="E509" t="str">
            <v>NK5.622.1.262.128.10.28</v>
          </cell>
        </row>
        <row r="510">
          <cell r="A510" t="str">
            <v>NK562211129</v>
          </cell>
          <cell r="B510" t="str">
            <v>PCCE</v>
          </cell>
          <cell r="C510" t="str">
            <v>DLEP</v>
          </cell>
          <cell r="D510" t="str">
            <v xml:space="preserve">MINISTERE DE L'EDUCATION </v>
          </cell>
          <cell r="E510" t="str">
            <v>NK5.622.1.262.128.11.29</v>
          </cell>
        </row>
        <row r="511">
          <cell r="A511" t="str">
            <v>NK562211130</v>
          </cell>
          <cell r="B511" t="str">
            <v>PCCE</v>
          </cell>
          <cell r="C511" t="str">
            <v>DLEP</v>
          </cell>
          <cell r="D511" t="str">
            <v xml:space="preserve">MINISTERE DE L'EDUCATION </v>
          </cell>
          <cell r="E511" t="str">
            <v>NK5.622.1.262.128.11.30</v>
          </cell>
        </row>
        <row r="512">
          <cell r="A512" t="str">
            <v>NK562211131</v>
          </cell>
          <cell r="B512" t="str">
            <v>PCCE</v>
          </cell>
          <cell r="C512" t="str">
            <v>DLEP</v>
          </cell>
          <cell r="D512" t="str">
            <v xml:space="preserve">MINISTERE DE L'EDUCATION </v>
          </cell>
          <cell r="E512" t="str">
            <v>NK5.622.1.262.128.11.31</v>
          </cell>
        </row>
        <row r="513">
          <cell r="A513" t="str">
            <v>NK562211132</v>
          </cell>
          <cell r="B513" t="str">
            <v>PCCE</v>
          </cell>
          <cell r="C513" t="str">
            <v>DLEP</v>
          </cell>
          <cell r="D513" t="str">
            <v xml:space="preserve">MINISTERE DE L'EDUCATION </v>
          </cell>
          <cell r="E513" t="str">
            <v>NK5.622.1.262.128.11.32</v>
          </cell>
        </row>
        <row r="514">
          <cell r="A514" t="str">
            <v>NK562211133</v>
          </cell>
          <cell r="B514" t="str">
            <v>PCCE</v>
          </cell>
          <cell r="C514" t="str">
            <v>DLEP</v>
          </cell>
          <cell r="D514" t="str">
            <v xml:space="preserve">MINISTERE DE L'EDUCATION </v>
          </cell>
          <cell r="E514" t="str">
            <v>NK5.622.1.262.128.11.33</v>
          </cell>
        </row>
        <row r="515">
          <cell r="A515" t="str">
            <v>NK562211134</v>
          </cell>
          <cell r="B515" t="str">
            <v>PCCE</v>
          </cell>
          <cell r="C515" t="str">
            <v>DLEP</v>
          </cell>
          <cell r="D515" t="str">
            <v xml:space="preserve">MINISTERE DE L'EDUCATION </v>
          </cell>
          <cell r="E515" t="str">
            <v>NK5.622.1.262.128.11.34</v>
          </cell>
        </row>
        <row r="516">
          <cell r="A516" t="str">
            <v>NK562211235</v>
          </cell>
          <cell r="B516" t="str">
            <v>PCCE</v>
          </cell>
          <cell r="C516" t="str">
            <v>DLEP</v>
          </cell>
          <cell r="D516" t="str">
            <v xml:space="preserve">MINISTERE DE L'EDUCATION </v>
          </cell>
          <cell r="E516" t="str">
            <v>NK5.622.1.262.128.12.35</v>
          </cell>
        </row>
        <row r="517">
          <cell r="A517" t="str">
            <v>NK562211236</v>
          </cell>
          <cell r="B517" t="str">
            <v>PCCE</v>
          </cell>
          <cell r="C517" t="str">
            <v>DLEP</v>
          </cell>
          <cell r="D517" t="str">
            <v xml:space="preserve">MINISTERE DE L'EDUCATION </v>
          </cell>
          <cell r="E517" t="str">
            <v>NK5.622.1.262.128.12.36</v>
          </cell>
        </row>
        <row r="518">
          <cell r="A518" t="str">
            <v>NK562211237</v>
          </cell>
          <cell r="B518" t="str">
            <v>PCCE</v>
          </cell>
          <cell r="C518" t="str">
            <v>DLEP</v>
          </cell>
          <cell r="D518" t="str">
            <v xml:space="preserve">MINISTERE DE L'EDUCATION </v>
          </cell>
          <cell r="E518" t="str">
            <v>NK5.622.1.262.128.12.37</v>
          </cell>
        </row>
        <row r="519">
          <cell r="A519" t="str">
            <v>NK562211238</v>
          </cell>
          <cell r="B519" t="str">
            <v>PCCE</v>
          </cell>
          <cell r="C519" t="str">
            <v>DLEP</v>
          </cell>
          <cell r="D519" t="str">
            <v xml:space="preserve">MINISTERE DE L'EDUCATION </v>
          </cell>
          <cell r="E519" t="str">
            <v>NK5.622.1.262.128.12.38</v>
          </cell>
        </row>
        <row r="520">
          <cell r="A520" t="str">
            <v>NK562211239</v>
          </cell>
          <cell r="B520" t="str">
            <v>PCCE</v>
          </cell>
          <cell r="C520" t="str">
            <v>DLEP</v>
          </cell>
          <cell r="D520" t="str">
            <v xml:space="preserve">MINISTERE DE L'EDUCATION </v>
          </cell>
          <cell r="E520" t="str">
            <v>NK5.622.1.262.128.12.39</v>
          </cell>
        </row>
        <row r="521">
          <cell r="A521" t="str">
            <v>NK562261026</v>
          </cell>
          <cell r="B521" t="str">
            <v>PCCE</v>
          </cell>
          <cell r="C521" t="str">
            <v>DLEP</v>
          </cell>
          <cell r="D521" t="str">
            <v xml:space="preserve">MINISTERE DE L'EDUCATION </v>
          </cell>
          <cell r="E521" t="str">
            <v>NK5.622.6.262.128.10.26</v>
          </cell>
        </row>
        <row r="522">
          <cell r="A522" t="str">
            <v>NK562261027</v>
          </cell>
          <cell r="B522" t="str">
            <v>PCCE</v>
          </cell>
          <cell r="C522" t="str">
            <v>DLEP</v>
          </cell>
          <cell r="D522" t="str">
            <v xml:space="preserve">MINISTERE DE L'EDUCATION </v>
          </cell>
          <cell r="E522" t="str">
            <v>NK5.622.6.262.128.10.27</v>
          </cell>
        </row>
        <row r="523">
          <cell r="A523" t="str">
            <v>NK562261128</v>
          </cell>
          <cell r="B523" t="str">
            <v>PCCE</v>
          </cell>
          <cell r="C523" t="str">
            <v>DLEP</v>
          </cell>
          <cell r="D523" t="str">
            <v xml:space="preserve">MINISTERE DE L'EDUCATION </v>
          </cell>
          <cell r="E523" t="str">
            <v>NK5.622.6.262.128.11.28</v>
          </cell>
        </row>
        <row r="524">
          <cell r="A524" t="str">
            <v>NK562261129</v>
          </cell>
          <cell r="B524" t="str">
            <v>PCCE</v>
          </cell>
          <cell r="C524" t="str">
            <v>DLEP</v>
          </cell>
          <cell r="D524" t="str">
            <v xml:space="preserve">MINISTERE DE L'EDUCATION </v>
          </cell>
          <cell r="E524" t="str">
            <v>NK5.622.6.262.128.11.29</v>
          </cell>
        </row>
        <row r="525">
          <cell r="A525" t="str">
            <v>NK562261230</v>
          </cell>
          <cell r="B525" t="str">
            <v>PCCE</v>
          </cell>
          <cell r="C525" t="str">
            <v>DLEP</v>
          </cell>
          <cell r="D525" t="str">
            <v xml:space="preserve">MINISTERE DE L'EDUCATION </v>
          </cell>
          <cell r="E525" t="str">
            <v>NK5.622.6.262.128.12.30</v>
          </cell>
        </row>
        <row r="526">
          <cell r="A526" t="str">
            <v>NK562261331</v>
          </cell>
          <cell r="B526" t="str">
            <v>PCCE</v>
          </cell>
          <cell r="C526" t="str">
            <v xml:space="preserve">DLEP </v>
          </cell>
          <cell r="D526" t="str">
            <v xml:space="preserve">MINISTERE DE L'EDUCATION </v>
          </cell>
          <cell r="E526" t="str">
            <v>NK5.622.6.262.128.13.31</v>
          </cell>
        </row>
        <row r="527">
          <cell r="A527" t="str">
            <v>NK562271008</v>
          </cell>
          <cell r="B527" t="str">
            <v>PCCE</v>
          </cell>
          <cell r="C527" t="str">
            <v>DLEP</v>
          </cell>
          <cell r="D527" t="str">
            <v xml:space="preserve">MINISTERE DE L'EDUCATION </v>
          </cell>
          <cell r="E527" t="str">
            <v>NK5.622.7.262.128.10.08</v>
          </cell>
        </row>
        <row r="528">
          <cell r="A528" t="str">
            <v>NK562271109</v>
          </cell>
          <cell r="B528" t="str">
            <v>PCCE</v>
          </cell>
          <cell r="C528" t="str">
            <v>DLEP</v>
          </cell>
          <cell r="D528" t="str">
            <v xml:space="preserve">MINISTERE DE L'EDUCATION </v>
          </cell>
          <cell r="E528" t="str">
            <v>NK5.622.7.262.128.11.09</v>
          </cell>
        </row>
        <row r="529">
          <cell r="A529" t="str">
            <v>NK562271210</v>
          </cell>
          <cell r="B529" t="str">
            <v>PCCE</v>
          </cell>
          <cell r="C529" t="str">
            <v>DLEP</v>
          </cell>
          <cell r="D529" t="str">
            <v xml:space="preserve">MINISTERE DE L'EDUCATION </v>
          </cell>
          <cell r="E529" t="str">
            <v>NK5.622.7.262.128.12.10</v>
          </cell>
        </row>
        <row r="530">
          <cell r="A530" t="str">
            <v>NK562281023</v>
          </cell>
          <cell r="B530" t="str">
            <v>PCCE</v>
          </cell>
          <cell r="C530" t="str">
            <v>DLEP</v>
          </cell>
          <cell r="D530" t="str">
            <v xml:space="preserve">MINISTERE DE L'EDUCATION </v>
          </cell>
          <cell r="E530" t="str">
            <v>NK5.622.8.262.128.10.23</v>
          </cell>
        </row>
        <row r="531">
          <cell r="A531" t="str">
            <v>NK562281124</v>
          </cell>
          <cell r="B531" t="str">
            <v>PCCE</v>
          </cell>
          <cell r="C531" t="str">
            <v>DLEP</v>
          </cell>
          <cell r="D531" t="str">
            <v xml:space="preserve">MINISTERE DE L'EDUCATION </v>
          </cell>
          <cell r="E531" t="str">
            <v>NK5.622.8.262.128.11.24</v>
          </cell>
        </row>
        <row r="532">
          <cell r="A532" t="str">
            <v>NK562281125</v>
          </cell>
          <cell r="B532" t="str">
            <v>PCCE</v>
          </cell>
          <cell r="C532" t="str">
            <v>DLEP</v>
          </cell>
          <cell r="D532" t="str">
            <v xml:space="preserve">MINISTERE DE L'EDUCATION </v>
          </cell>
          <cell r="E532" t="str">
            <v>NK5.622.8.262.128.11.25</v>
          </cell>
        </row>
        <row r="533">
          <cell r="A533" t="str">
            <v>NK562281126</v>
          </cell>
          <cell r="B533" t="str">
            <v>PCCE</v>
          </cell>
          <cell r="C533" t="str">
            <v>DLEP</v>
          </cell>
          <cell r="D533" t="str">
            <v xml:space="preserve">MINISTERE DE L'EDUCATION </v>
          </cell>
          <cell r="E533" t="str">
            <v>NK5.622.8.262.128.11.26</v>
          </cell>
        </row>
        <row r="534">
          <cell r="A534" t="str">
            <v>NK562281127</v>
          </cell>
          <cell r="B534" t="str">
            <v>PCCE</v>
          </cell>
          <cell r="C534" t="str">
            <v>DLEP</v>
          </cell>
          <cell r="D534" t="str">
            <v xml:space="preserve">MINISTERE DE L'EDUCATION </v>
          </cell>
          <cell r="E534" t="str">
            <v>NK5.622.8.262.128.11.27</v>
          </cell>
        </row>
        <row r="535">
          <cell r="A535" t="str">
            <v>NK562281128</v>
          </cell>
          <cell r="B535" t="str">
            <v>PCCE</v>
          </cell>
          <cell r="C535" t="str">
            <v>DLEP</v>
          </cell>
          <cell r="D535" t="str">
            <v xml:space="preserve">MINISTERE DE L'EDUCATION </v>
          </cell>
          <cell r="E535" t="str">
            <v>NK5.622.8.262.128.11.28</v>
          </cell>
        </row>
        <row r="536">
          <cell r="A536" t="str">
            <v>NK562281129</v>
          </cell>
          <cell r="B536" t="str">
            <v>PCCE</v>
          </cell>
          <cell r="C536" t="str">
            <v>DLEP</v>
          </cell>
          <cell r="D536" t="str">
            <v xml:space="preserve">MINISTERE DE L'EDUCATION </v>
          </cell>
          <cell r="E536" t="str">
            <v>NK5.622.8.262.128.11.29</v>
          </cell>
        </row>
        <row r="537">
          <cell r="A537" t="str">
            <v>NK562281130</v>
          </cell>
          <cell r="B537" t="str">
            <v>PCCE</v>
          </cell>
          <cell r="C537" t="str">
            <v>DLEP</v>
          </cell>
          <cell r="D537" t="str">
            <v xml:space="preserve">MINISTERE DE L'EDUCATION </v>
          </cell>
          <cell r="E537" t="str">
            <v>NK5.622.8.262.128.11.30</v>
          </cell>
        </row>
        <row r="538">
          <cell r="A538" t="str">
            <v>NK562281131</v>
          </cell>
          <cell r="B538" t="str">
            <v>PCCE</v>
          </cell>
          <cell r="C538" t="str">
            <v>DLEP</v>
          </cell>
          <cell r="D538" t="str">
            <v xml:space="preserve">MINISTERE DE L'EDUCATION </v>
          </cell>
          <cell r="E538" t="str">
            <v>NK5.622.8.262.128.11.31</v>
          </cell>
        </row>
        <row r="539">
          <cell r="A539" t="str">
            <v>NK562281232</v>
          </cell>
          <cell r="B539" t="str">
            <v>PCCE</v>
          </cell>
          <cell r="C539" t="str">
            <v>DLEP</v>
          </cell>
          <cell r="D539" t="str">
            <v xml:space="preserve">MINISTERE DE L'EDUCATION </v>
          </cell>
          <cell r="E539" t="str">
            <v>NK5.622.8.262.128.12.32</v>
          </cell>
        </row>
        <row r="540">
          <cell r="A540" t="str">
            <v>NK562281233</v>
          </cell>
          <cell r="B540" t="str">
            <v>PCCE</v>
          </cell>
          <cell r="C540" t="str">
            <v>DLEP</v>
          </cell>
          <cell r="D540" t="str">
            <v xml:space="preserve">MINISTERE DE L'EDUCATION </v>
          </cell>
          <cell r="E540" t="str">
            <v>NK5.622.8.262.128.12.33</v>
          </cell>
        </row>
        <row r="541">
          <cell r="A541" t="str">
            <v>NK562281234</v>
          </cell>
          <cell r="B541" t="str">
            <v>PCCE</v>
          </cell>
          <cell r="C541" t="str">
            <v>DLEP</v>
          </cell>
          <cell r="D541" t="str">
            <v xml:space="preserve">MINISTERE DE L'EDUCATION </v>
          </cell>
          <cell r="E541" t="str">
            <v>NK5.622.8.262.128.12.34</v>
          </cell>
        </row>
        <row r="542">
          <cell r="A542" t="str">
            <v>NK562281235</v>
          </cell>
          <cell r="B542" t="str">
            <v>PCCE</v>
          </cell>
          <cell r="C542" t="str">
            <v>DLEP</v>
          </cell>
          <cell r="D542" t="str">
            <v xml:space="preserve">MINISTERE DE L'EDUCATION </v>
          </cell>
          <cell r="E542" t="str">
            <v>NK5.622.8.262.128.12.35</v>
          </cell>
        </row>
        <row r="543">
          <cell r="A543" t="str">
            <v>NK562281236</v>
          </cell>
          <cell r="B543" t="str">
            <v>PCCE</v>
          </cell>
          <cell r="C543" t="str">
            <v>DLEP</v>
          </cell>
          <cell r="D543" t="str">
            <v xml:space="preserve">MINISTERE DE L'EDUCATION </v>
          </cell>
          <cell r="E543" t="str">
            <v>NK5.622.8.262.128.12.36</v>
          </cell>
        </row>
        <row r="544">
          <cell r="A544" t="str">
            <v>NK562281237</v>
          </cell>
          <cell r="B544" t="str">
            <v>PCCE</v>
          </cell>
          <cell r="C544" t="str">
            <v>DLEP</v>
          </cell>
          <cell r="D544" t="str">
            <v xml:space="preserve">MINISTERE DE L'EDUCATION </v>
          </cell>
          <cell r="E544" t="str">
            <v>NK5.622.8.262.128.12.37</v>
          </cell>
        </row>
        <row r="545">
          <cell r="A545" t="str">
            <v>NK562281238</v>
          </cell>
          <cell r="B545" t="str">
            <v>PCCE</v>
          </cell>
          <cell r="C545" t="str">
            <v>DLEP</v>
          </cell>
          <cell r="D545" t="str">
            <v xml:space="preserve">MINISTERE DE L'EDUCATION </v>
          </cell>
          <cell r="E545" t="str">
            <v>NK5.622.8.262.128.12.38</v>
          </cell>
        </row>
        <row r="546">
          <cell r="A546" t="str">
            <v>NK562281339</v>
          </cell>
          <cell r="B546" t="str">
            <v>PCCE</v>
          </cell>
          <cell r="C546" t="str">
            <v xml:space="preserve">DLEP </v>
          </cell>
          <cell r="D546" t="str">
            <v xml:space="preserve">MINISTERE DE L'EDUCATION </v>
          </cell>
          <cell r="E546" t="str">
            <v>NK5.622.8.262.128.13.39</v>
          </cell>
        </row>
        <row r="547">
          <cell r="A547" t="str">
            <v>NK5623--12--</v>
          </cell>
          <cell r="B547" t="str">
            <v>PCCE</v>
          </cell>
          <cell r="C547" t="str">
            <v>DLEP</v>
          </cell>
          <cell r="D547" t="str">
            <v xml:space="preserve">MINISTERE DE L'EDUCATION </v>
          </cell>
          <cell r="E547" t="str">
            <v>NK5.623.--.262.128.12.--</v>
          </cell>
        </row>
        <row r="548">
          <cell r="A548" t="str">
            <v>NK5623--12--</v>
          </cell>
          <cell r="B548" t="str">
            <v>PCCE</v>
          </cell>
          <cell r="C548" t="str">
            <v>DLEP</v>
          </cell>
          <cell r="D548" t="str">
            <v xml:space="preserve">MINISTERE DE L'EDUCATION </v>
          </cell>
          <cell r="E548" t="str">
            <v>NK5.623.--.262.128.12.--</v>
          </cell>
        </row>
        <row r="549">
          <cell r="A549" t="str">
            <v>NK5623--12--</v>
          </cell>
          <cell r="B549" t="str">
            <v>PCCE</v>
          </cell>
          <cell r="C549" t="str">
            <v>DLEP</v>
          </cell>
          <cell r="D549" t="str">
            <v xml:space="preserve">MINISTERE DE L'EDUCATION </v>
          </cell>
          <cell r="E549" t="str">
            <v>NK5.623.--.262.128.12.--</v>
          </cell>
        </row>
        <row r="550">
          <cell r="A550" t="str">
            <v>NK5623--12--</v>
          </cell>
          <cell r="B550" t="str">
            <v>PCCE</v>
          </cell>
          <cell r="C550" t="str">
            <v>DLEP</v>
          </cell>
          <cell r="D550" t="str">
            <v xml:space="preserve">MINISTERE DE L'EDUCATION </v>
          </cell>
          <cell r="E550" t="str">
            <v>NK5.623.--.262.128.12.--</v>
          </cell>
        </row>
        <row r="551">
          <cell r="A551" t="str">
            <v>NK5623--13--</v>
          </cell>
          <cell r="B551" t="str">
            <v>PCCE</v>
          </cell>
          <cell r="C551" t="str">
            <v xml:space="preserve">DLEP </v>
          </cell>
          <cell r="D551" t="str">
            <v xml:space="preserve">MINISTERE DE L'EDUCATION </v>
          </cell>
          <cell r="E551" t="str">
            <v>NK5.623.--.262.128.13.--</v>
          </cell>
        </row>
        <row r="552">
          <cell r="A552" t="str">
            <v>NK5623--13--</v>
          </cell>
          <cell r="B552" t="str">
            <v>PCCE</v>
          </cell>
          <cell r="C552" t="str">
            <v xml:space="preserve">DLEP </v>
          </cell>
          <cell r="D552" t="str">
            <v xml:space="preserve">MINISTERE DE L'EDUCATION </v>
          </cell>
          <cell r="E552" t="str">
            <v>NK5.623.--.262.128.13.--</v>
          </cell>
        </row>
        <row r="553">
          <cell r="A553" t="str">
            <v>NK5623--13--</v>
          </cell>
          <cell r="B553" t="str">
            <v>PCCE</v>
          </cell>
          <cell r="C553" t="str">
            <v xml:space="preserve">DLEP </v>
          </cell>
          <cell r="D553" t="str">
            <v xml:space="preserve">MINISTERE DE L'EDUCATION </v>
          </cell>
          <cell r="E553" t="str">
            <v>NK5.623.--.262.128.13.--</v>
          </cell>
        </row>
        <row r="554">
          <cell r="A554" t="str">
            <v>NK5623--13--</v>
          </cell>
          <cell r="B554" t="str">
            <v>PCCE</v>
          </cell>
          <cell r="C554" t="str">
            <v xml:space="preserve">DLEP </v>
          </cell>
          <cell r="D554" t="str">
            <v xml:space="preserve">MINISTERE DE L'EDUCATION </v>
          </cell>
          <cell r="E554" t="str">
            <v>NK5.623.--.262.128.13.--</v>
          </cell>
        </row>
        <row r="555">
          <cell r="A555" t="str">
            <v>NK5623--13--</v>
          </cell>
          <cell r="B555" t="str">
            <v>PCCE</v>
          </cell>
          <cell r="C555" t="str">
            <v xml:space="preserve">DLEP </v>
          </cell>
          <cell r="D555" t="str">
            <v xml:space="preserve">MINISTERE DE L'EDUCATION </v>
          </cell>
          <cell r="E555" t="str">
            <v>NK5.623.--.262.128.13.--</v>
          </cell>
        </row>
        <row r="556">
          <cell r="A556" t="str">
            <v>NK5623--13--</v>
          </cell>
          <cell r="B556" t="str">
            <v>PCCE</v>
          </cell>
          <cell r="C556" t="str">
            <v xml:space="preserve">DLEP </v>
          </cell>
          <cell r="D556" t="str">
            <v xml:space="preserve">MINISTERE DE L'EDUCATION </v>
          </cell>
          <cell r="E556" t="str">
            <v>NK5.623.--.262.128.13.--</v>
          </cell>
        </row>
        <row r="557">
          <cell r="A557" t="str">
            <v>NK5623--13--</v>
          </cell>
          <cell r="B557" t="str">
            <v>PCCE</v>
          </cell>
          <cell r="C557" t="str">
            <v xml:space="preserve">DLEP </v>
          </cell>
          <cell r="D557" t="str">
            <v xml:space="preserve">MINISTERE DE L'EDUCATION </v>
          </cell>
          <cell r="E557" t="str">
            <v>NK5.623.--.262.128.13.--</v>
          </cell>
        </row>
        <row r="558">
          <cell r="A558" t="str">
            <v>NK5623--14--</v>
          </cell>
          <cell r="B558" t="str">
            <v>PCCE</v>
          </cell>
          <cell r="C558" t="str">
            <v xml:space="preserve">DLEP </v>
          </cell>
          <cell r="D558" t="str">
            <v xml:space="preserve">MINISTERE DE L'EDUCATION </v>
          </cell>
          <cell r="E558" t="str">
            <v>NK5.623.--.262.128.14.--</v>
          </cell>
        </row>
        <row r="559">
          <cell r="A559" t="str">
            <v>NK5623--14--</v>
          </cell>
          <cell r="B559" t="str">
            <v>PCCE</v>
          </cell>
          <cell r="C559" t="str">
            <v xml:space="preserve">DLEP </v>
          </cell>
          <cell r="D559" t="str">
            <v xml:space="preserve">MINISTERE DE L'EDUCATION </v>
          </cell>
          <cell r="E559" t="str">
            <v>NK5.623.--.262.128.14.--</v>
          </cell>
        </row>
        <row r="560">
          <cell r="A560" t="str">
            <v>NK5623--14--</v>
          </cell>
          <cell r="B560" t="str">
            <v>PCCE</v>
          </cell>
          <cell r="C560" t="str">
            <v xml:space="preserve">DLEP </v>
          </cell>
          <cell r="D560" t="str">
            <v xml:space="preserve">MINISTERE DE L'EDUCATION </v>
          </cell>
          <cell r="E560" t="str">
            <v>NK5.623.--.262.128.14.--</v>
          </cell>
        </row>
        <row r="561">
          <cell r="A561" t="str">
            <v>NK5623--14--</v>
          </cell>
          <cell r="B561" t="str">
            <v>PCCE</v>
          </cell>
          <cell r="C561" t="str">
            <v xml:space="preserve">DLEP </v>
          </cell>
          <cell r="D561" t="str">
            <v xml:space="preserve">MINISTERE DE L'EDUCATION </v>
          </cell>
          <cell r="E561" t="str">
            <v>NK5.623.--.262.128.14.--</v>
          </cell>
        </row>
        <row r="562">
          <cell r="A562" t="str">
            <v>NK5623--14--</v>
          </cell>
          <cell r="B562" t="str">
            <v>PCCE</v>
          </cell>
          <cell r="C562" t="str">
            <v xml:space="preserve">DLEP </v>
          </cell>
          <cell r="D562" t="str">
            <v xml:space="preserve">MINISTERE DE L'EDUCATION </v>
          </cell>
          <cell r="E562" t="str">
            <v>NK5.623.--.262.128.14.--</v>
          </cell>
        </row>
        <row r="563">
          <cell r="A563" t="str">
            <v>NK5623--14--</v>
          </cell>
          <cell r="B563" t="str">
            <v>PCCE</v>
          </cell>
          <cell r="C563" t="str">
            <v xml:space="preserve">DLEP </v>
          </cell>
          <cell r="D563" t="str">
            <v xml:space="preserve">MINISTERE DE L'EDUCATION </v>
          </cell>
          <cell r="E563" t="str">
            <v>NK5.623.--.262.128.14.--</v>
          </cell>
        </row>
        <row r="564">
          <cell r="A564" t="str">
            <v>NK5623--14--</v>
          </cell>
          <cell r="B564" t="str">
            <v>PCCE</v>
          </cell>
          <cell r="C564" t="str">
            <v xml:space="preserve">DLEP </v>
          </cell>
          <cell r="D564" t="str">
            <v xml:space="preserve">MINISTERE DE L'EDUCATION </v>
          </cell>
          <cell r="E564" t="str">
            <v>NK5.623.--.262.128.14.--</v>
          </cell>
        </row>
        <row r="565">
          <cell r="A565" t="str">
            <v>NK562321065</v>
          </cell>
          <cell r="B565" t="str">
            <v>PCCE</v>
          </cell>
          <cell r="C565" t="str">
            <v>DLEP</v>
          </cell>
          <cell r="D565" t="str">
            <v xml:space="preserve">MINISTERE DE L'EDUCATION </v>
          </cell>
          <cell r="E565" t="str">
            <v>NK5.623.2.262.128.10.65</v>
          </cell>
        </row>
        <row r="566">
          <cell r="A566" t="str">
            <v>NK562321066</v>
          </cell>
          <cell r="B566" t="str">
            <v>PCCE</v>
          </cell>
          <cell r="C566" t="str">
            <v>DLEP</v>
          </cell>
          <cell r="D566" t="str">
            <v xml:space="preserve">MINISTERE DE L'EDUCATION </v>
          </cell>
          <cell r="E566" t="str">
            <v>NK5.623.2.262.128.10.66</v>
          </cell>
        </row>
        <row r="567">
          <cell r="A567" t="str">
            <v>NK562321167</v>
          </cell>
          <cell r="B567" t="str">
            <v>PCCE</v>
          </cell>
          <cell r="C567" t="str">
            <v>DLEP</v>
          </cell>
          <cell r="D567" t="str">
            <v xml:space="preserve">MINISTERE DE L'EDUCATION </v>
          </cell>
          <cell r="E567" t="str">
            <v>NK5.623.2.262.128.11.67</v>
          </cell>
        </row>
        <row r="568">
          <cell r="A568" t="str">
            <v>NK562321168</v>
          </cell>
          <cell r="B568" t="str">
            <v>PCCE</v>
          </cell>
          <cell r="C568" t="str">
            <v>DLEP</v>
          </cell>
          <cell r="D568" t="str">
            <v xml:space="preserve">MINISTERE DE L'EDUCATION </v>
          </cell>
          <cell r="E568" t="str">
            <v>NK5.623.2.262.128.11.68</v>
          </cell>
        </row>
        <row r="569">
          <cell r="A569" t="str">
            <v>NK562321169</v>
          </cell>
          <cell r="B569" t="str">
            <v>PCCE</v>
          </cell>
          <cell r="C569" t="str">
            <v>DLEP</v>
          </cell>
          <cell r="D569" t="str">
            <v xml:space="preserve">MINISTERE DE L'EDUCATION </v>
          </cell>
          <cell r="E569" t="str">
            <v>NK5.623.2.262.128.11.69</v>
          </cell>
        </row>
        <row r="570">
          <cell r="A570" t="str">
            <v>NK562321270</v>
          </cell>
          <cell r="B570" t="str">
            <v>PCCE</v>
          </cell>
          <cell r="C570" t="str">
            <v>DLEP</v>
          </cell>
          <cell r="D570" t="str">
            <v xml:space="preserve">MINISTERE DE L'EDUCATION </v>
          </cell>
          <cell r="E570" t="str">
            <v>NK5.623.2.262.128.12.70</v>
          </cell>
        </row>
        <row r="571">
          <cell r="A571" t="str">
            <v>NK562321271</v>
          </cell>
          <cell r="B571" t="str">
            <v>PCCE</v>
          </cell>
          <cell r="C571" t="str">
            <v>DLEP</v>
          </cell>
          <cell r="D571" t="str">
            <v xml:space="preserve">MINISTERE DE L'EDUCATION </v>
          </cell>
          <cell r="E571" t="str">
            <v>NK5.623.2.262.128.12.71</v>
          </cell>
        </row>
        <row r="572">
          <cell r="A572" t="str">
            <v>NK562321272</v>
          </cell>
          <cell r="B572" t="str">
            <v>PCCE</v>
          </cell>
          <cell r="C572" t="str">
            <v>DLEP</v>
          </cell>
          <cell r="D572" t="str">
            <v xml:space="preserve">MINISTERE DE L'EDUCATION </v>
          </cell>
          <cell r="E572" t="str">
            <v>NK5.623.2.262.128.12.72</v>
          </cell>
        </row>
        <row r="573">
          <cell r="A573" t="str">
            <v>NK562321373</v>
          </cell>
          <cell r="B573" t="str">
            <v>PCCE</v>
          </cell>
          <cell r="C573" t="str">
            <v xml:space="preserve">DLEP </v>
          </cell>
          <cell r="D573" t="str">
            <v xml:space="preserve">MINISTERE DE L'EDUCATION </v>
          </cell>
          <cell r="E573" t="str">
            <v>NK5.623.2.262.128.13.73</v>
          </cell>
        </row>
        <row r="574">
          <cell r="A574" t="str">
            <v>NK562321374</v>
          </cell>
          <cell r="B574" t="str">
            <v>PCCE</v>
          </cell>
          <cell r="C574" t="str">
            <v xml:space="preserve">DLEP </v>
          </cell>
          <cell r="D574" t="str">
            <v xml:space="preserve">MINISTERE DE L'EDUCATION </v>
          </cell>
          <cell r="E574" t="str">
            <v>NK5.623.2.262.128.13.74</v>
          </cell>
        </row>
        <row r="575">
          <cell r="A575" t="str">
            <v>NK562321375</v>
          </cell>
          <cell r="B575" t="str">
            <v>PCCE</v>
          </cell>
          <cell r="C575" t="str">
            <v xml:space="preserve">DLEP </v>
          </cell>
          <cell r="D575" t="str">
            <v xml:space="preserve">MINISTERE DE L'EDUCATION </v>
          </cell>
          <cell r="E575" t="str">
            <v>NK5.623.2.262.128.13.75</v>
          </cell>
        </row>
        <row r="576">
          <cell r="A576" t="str">
            <v>NK562331023</v>
          </cell>
          <cell r="B576" t="str">
            <v>PCCE</v>
          </cell>
          <cell r="C576" t="str">
            <v>DLEP</v>
          </cell>
          <cell r="D576" t="str">
            <v xml:space="preserve">MINISTERE DE L'EDUCATION </v>
          </cell>
          <cell r="E576" t="str">
            <v>NK5.623.3.262.128.10.23</v>
          </cell>
        </row>
        <row r="577">
          <cell r="A577" t="str">
            <v>NK562331024</v>
          </cell>
          <cell r="B577" t="str">
            <v>PCCE</v>
          </cell>
          <cell r="C577" t="str">
            <v>DLEP</v>
          </cell>
          <cell r="D577" t="str">
            <v xml:space="preserve">MINISTERE DE L'EDUCATION </v>
          </cell>
          <cell r="E577" t="str">
            <v>NK5.623.3.262.128.10.24</v>
          </cell>
        </row>
        <row r="578">
          <cell r="A578" t="str">
            <v>NK562331125</v>
          </cell>
          <cell r="B578" t="str">
            <v>PCCE</v>
          </cell>
          <cell r="C578" t="str">
            <v>DLEP</v>
          </cell>
          <cell r="D578" t="str">
            <v xml:space="preserve">MINISTERE DE L'EDUCATION </v>
          </cell>
          <cell r="E578" t="str">
            <v>NK5.623.3.262.128.11.25</v>
          </cell>
        </row>
        <row r="579">
          <cell r="A579" t="str">
            <v>NK562331126</v>
          </cell>
          <cell r="B579" t="str">
            <v>PCCE</v>
          </cell>
          <cell r="C579" t="str">
            <v>DLEP</v>
          </cell>
          <cell r="D579" t="str">
            <v xml:space="preserve">MINISTERE DE L'EDUCATION </v>
          </cell>
          <cell r="E579" t="str">
            <v>NK5.623.3.262.128.11.26</v>
          </cell>
        </row>
        <row r="580">
          <cell r="A580" t="str">
            <v>NK562341041</v>
          </cell>
          <cell r="B580" t="str">
            <v>PCCE</v>
          </cell>
          <cell r="C580" t="str">
            <v>DLEP</v>
          </cell>
          <cell r="D580" t="str">
            <v xml:space="preserve">MINISTERE DE L'EDUCATION </v>
          </cell>
          <cell r="E580" t="str">
            <v>NK5.623.4.262.128.10.41</v>
          </cell>
        </row>
        <row r="581">
          <cell r="A581" t="str">
            <v>NK562341142</v>
          </cell>
          <cell r="B581" t="str">
            <v>PCCE</v>
          </cell>
          <cell r="C581" t="str">
            <v>DLEP</v>
          </cell>
          <cell r="D581" t="str">
            <v xml:space="preserve">MINISTERE DE L'EDUCATION </v>
          </cell>
          <cell r="E581" t="str">
            <v>NK5.623.4.262.128.11.42</v>
          </cell>
        </row>
        <row r="582">
          <cell r="A582" t="str">
            <v>NK562341143</v>
          </cell>
          <cell r="B582" t="str">
            <v>PCCE</v>
          </cell>
          <cell r="C582" t="str">
            <v>DLEP</v>
          </cell>
          <cell r="D582" t="str">
            <v xml:space="preserve">MINISTERE DE L'EDUCATION </v>
          </cell>
          <cell r="E582" t="str">
            <v>NK5.623.4.262.128.11.43</v>
          </cell>
        </row>
        <row r="583">
          <cell r="A583" t="str">
            <v>NK562341144</v>
          </cell>
          <cell r="B583" t="str">
            <v>PCCE</v>
          </cell>
          <cell r="C583" t="str">
            <v>DLEP</v>
          </cell>
          <cell r="D583" t="str">
            <v xml:space="preserve">MINISTERE DE L'EDUCATION </v>
          </cell>
          <cell r="E583" t="str">
            <v>NK5.623.4.262.128.11.44</v>
          </cell>
        </row>
        <row r="584">
          <cell r="A584" t="str">
            <v>NK562341145</v>
          </cell>
          <cell r="B584" t="str">
            <v>PCCE</v>
          </cell>
          <cell r="C584" t="str">
            <v>DLEP</v>
          </cell>
          <cell r="D584" t="str">
            <v xml:space="preserve">MINISTERE DE L'EDUCATION </v>
          </cell>
          <cell r="E584" t="str">
            <v>NK5.623.4.262.128.11.45</v>
          </cell>
        </row>
        <row r="585">
          <cell r="A585" t="str">
            <v>NK562341146</v>
          </cell>
          <cell r="B585" t="str">
            <v>PCCE</v>
          </cell>
          <cell r="C585" t="str">
            <v>DLEP</v>
          </cell>
          <cell r="D585" t="str">
            <v xml:space="preserve">MINISTERE DE L'EDUCATION </v>
          </cell>
          <cell r="E585" t="str">
            <v>NK5.623.4.262.128.11.46</v>
          </cell>
        </row>
        <row r="586">
          <cell r="A586" t="str">
            <v>NK562341147</v>
          </cell>
          <cell r="B586" t="str">
            <v>PCCE</v>
          </cell>
          <cell r="C586" t="str">
            <v>DLEP</v>
          </cell>
          <cell r="D586" t="str">
            <v xml:space="preserve">MINISTERE DE L'EDUCATION </v>
          </cell>
          <cell r="E586" t="str">
            <v>NK5.623.4.262.128.11.47</v>
          </cell>
        </row>
        <row r="587">
          <cell r="A587" t="str">
            <v>NK562341148</v>
          </cell>
          <cell r="B587" t="str">
            <v>PCCE</v>
          </cell>
          <cell r="C587" t="str">
            <v>DLEP</v>
          </cell>
          <cell r="D587" t="str">
            <v xml:space="preserve">MINISTERE DE L'EDUCATION </v>
          </cell>
          <cell r="E587" t="str">
            <v>NK5.623.4.262.128.11.48</v>
          </cell>
        </row>
        <row r="588">
          <cell r="A588" t="str">
            <v>NK562341151</v>
          </cell>
          <cell r="B588" t="str">
            <v>PCCE</v>
          </cell>
          <cell r="C588" t="str">
            <v>DLEP</v>
          </cell>
          <cell r="D588" t="str">
            <v xml:space="preserve">MINISTERE DE L'EDUCATION </v>
          </cell>
          <cell r="E588" t="str">
            <v>NK5.623.4.262.128.11.51</v>
          </cell>
        </row>
        <row r="589">
          <cell r="A589" t="str">
            <v>NK562341250</v>
          </cell>
          <cell r="B589" t="str">
            <v>PCCE</v>
          </cell>
          <cell r="C589" t="str">
            <v>DLEP</v>
          </cell>
          <cell r="D589" t="str">
            <v xml:space="preserve">MINISTERE DE L'EDUCATION </v>
          </cell>
          <cell r="E589" t="str">
            <v>NK5.623.4.262.128.12.50</v>
          </cell>
        </row>
        <row r="590">
          <cell r="A590" t="str">
            <v>NK562341252</v>
          </cell>
          <cell r="B590" t="str">
            <v>PCCE</v>
          </cell>
          <cell r="C590" t="str">
            <v>DLEP</v>
          </cell>
          <cell r="D590" t="str">
            <v xml:space="preserve">MINISTERE DE L'EDUCATION </v>
          </cell>
          <cell r="E590" t="str">
            <v>NK5.623.4.262.128.12.52</v>
          </cell>
        </row>
        <row r="591">
          <cell r="A591" t="str">
            <v>NK562341253</v>
          </cell>
          <cell r="B591" t="str">
            <v>PCCE</v>
          </cell>
          <cell r="C591" t="str">
            <v>DLEP</v>
          </cell>
          <cell r="D591" t="str">
            <v xml:space="preserve">MINISTERE DE L'EDUCATION </v>
          </cell>
          <cell r="E591" t="str">
            <v>NK5.623.4.262.128.12.53</v>
          </cell>
        </row>
        <row r="592">
          <cell r="A592" t="str">
            <v>NK562341254</v>
          </cell>
          <cell r="B592" t="str">
            <v>PCCE</v>
          </cell>
          <cell r="C592" t="str">
            <v>DLEP</v>
          </cell>
          <cell r="D592" t="str">
            <v xml:space="preserve">MINISTERE DE L'EDUCATION </v>
          </cell>
          <cell r="E592" t="str">
            <v>NK5.623.4.262.128.12.54</v>
          </cell>
        </row>
        <row r="593">
          <cell r="A593" t="str">
            <v>NK562341255</v>
          </cell>
          <cell r="B593" t="str">
            <v>PCCE</v>
          </cell>
          <cell r="C593" t="str">
            <v>DLEP</v>
          </cell>
          <cell r="D593" t="str">
            <v xml:space="preserve">MINISTERE DE L'EDUCATION </v>
          </cell>
          <cell r="E593" t="str">
            <v>NK5.623.4.262.128.12.55</v>
          </cell>
        </row>
        <row r="594">
          <cell r="A594" t="str">
            <v>NK562341256</v>
          </cell>
          <cell r="B594" t="str">
            <v>PCCE</v>
          </cell>
          <cell r="C594" t="str">
            <v>DLEP</v>
          </cell>
          <cell r="D594" t="str">
            <v xml:space="preserve">MINISTERE DE L'EDUCATION </v>
          </cell>
          <cell r="E594" t="str">
            <v>NK5.623.4.262.128.12.56</v>
          </cell>
        </row>
        <row r="595">
          <cell r="A595" t="str">
            <v>NK562341357</v>
          </cell>
          <cell r="B595" t="str">
            <v>PCCE</v>
          </cell>
          <cell r="C595" t="str">
            <v xml:space="preserve">DLEP </v>
          </cell>
          <cell r="D595" t="str">
            <v xml:space="preserve">MINISTERE DE L'EDUCATION </v>
          </cell>
          <cell r="E595" t="str">
            <v>NK5.623.4.262.128.13.57</v>
          </cell>
        </row>
        <row r="596">
          <cell r="A596" t="str">
            <v>NK562341358</v>
          </cell>
          <cell r="B596" t="str">
            <v>PCCE</v>
          </cell>
          <cell r="C596" t="str">
            <v xml:space="preserve">DLEP </v>
          </cell>
          <cell r="D596" t="str">
            <v xml:space="preserve">MINISTERE DE L'EDUCATION </v>
          </cell>
          <cell r="E596" t="str">
            <v>NK5.623.4.262.128.13.58</v>
          </cell>
        </row>
        <row r="597">
          <cell r="A597" t="str">
            <v>NK562341359</v>
          </cell>
          <cell r="B597" t="str">
            <v>PCCE</v>
          </cell>
          <cell r="C597" t="str">
            <v xml:space="preserve">DLEP </v>
          </cell>
          <cell r="D597" t="str">
            <v xml:space="preserve">MINISTERE DE L'EDUCATION </v>
          </cell>
          <cell r="E597" t="str">
            <v>NK5.623.4.262.128.13.59</v>
          </cell>
        </row>
        <row r="598">
          <cell r="A598" t="str">
            <v>NK562341360</v>
          </cell>
          <cell r="B598" t="str">
            <v>PCCE</v>
          </cell>
          <cell r="C598" t="str">
            <v xml:space="preserve">DLEP </v>
          </cell>
          <cell r="D598" t="str">
            <v xml:space="preserve">MINISTERE DE L'EDUCATION </v>
          </cell>
          <cell r="E598" t="str">
            <v>NK5.623.4.262.128.13.60</v>
          </cell>
        </row>
        <row r="599">
          <cell r="A599" t="str">
            <v>NK562361031</v>
          </cell>
          <cell r="B599" t="str">
            <v>PCCE</v>
          </cell>
          <cell r="C599" t="str">
            <v>DLEP</v>
          </cell>
          <cell r="D599" t="str">
            <v xml:space="preserve">MINISTERE DE L'EDUCATION </v>
          </cell>
          <cell r="E599" t="str">
            <v>NK5.623.6.262.128.10.31</v>
          </cell>
        </row>
        <row r="600">
          <cell r="A600" t="str">
            <v>NK562361032</v>
          </cell>
          <cell r="B600" t="str">
            <v>PCCE</v>
          </cell>
          <cell r="C600" t="str">
            <v>DLEP</v>
          </cell>
          <cell r="D600" t="str">
            <v xml:space="preserve">MINISTERE DE L'EDUCATION </v>
          </cell>
          <cell r="E600" t="str">
            <v>NK5.623.6.262.128.10.32</v>
          </cell>
        </row>
        <row r="601">
          <cell r="A601" t="str">
            <v>NK562361033</v>
          </cell>
          <cell r="B601" t="str">
            <v>PCCE</v>
          </cell>
          <cell r="C601" t="str">
            <v>DLEP</v>
          </cell>
          <cell r="D601" t="str">
            <v xml:space="preserve">MINISTERE DE L'EDUCATION </v>
          </cell>
          <cell r="E601" t="str">
            <v>NK5.623.6.262.128.10.33</v>
          </cell>
        </row>
        <row r="602">
          <cell r="A602" t="str">
            <v>NK562361034</v>
          </cell>
          <cell r="B602" t="str">
            <v>PCCE</v>
          </cell>
          <cell r="C602" t="str">
            <v>DLEP</v>
          </cell>
          <cell r="D602" t="str">
            <v xml:space="preserve">MINISTERE DE L'EDUCATION </v>
          </cell>
          <cell r="E602" t="str">
            <v>NK5.623.6.262.128.10.34</v>
          </cell>
        </row>
        <row r="603">
          <cell r="A603" t="str">
            <v>NK562361035</v>
          </cell>
          <cell r="B603" t="str">
            <v>PCCE</v>
          </cell>
          <cell r="C603" t="str">
            <v>DLEP</v>
          </cell>
          <cell r="D603" t="str">
            <v xml:space="preserve">MINISTERE DE L'EDUCATION </v>
          </cell>
          <cell r="E603" t="str">
            <v>NK5.623.6.262.128.10.35</v>
          </cell>
        </row>
        <row r="604">
          <cell r="A604" t="str">
            <v>NK562361036</v>
          </cell>
          <cell r="B604" t="str">
            <v>PCCE</v>
          </cell>
          <cell r="C604" t="str">
            <v>DLEP</v>
          </cell>
          <cell r="D604" t="str">
            <v xml:space="preserve">MINISTERE DE L'EDUCATION </v>
          </cell>
          <cell r="E604" t="str">
            <v>NK5.623.6.262.128.10.36</v>
          </cell>
        </row>
        <row r="605">
          <cell r="A605" t="str">
            <v>NK562361137</v>
          </cell>
          <cell r="B605" t="str">
            <v>PCCE</v>
          </cell>
          <cell r="C605" t="str">
            <v>DLEP</v>
          </cell>
          <cell r="D605" t="str">
            <v xml:space="preserve">MINISTERE DE L'EDUCATION </v>
          </cell>
          <cell r="E605" t="str">
            <v>NK5.623.6.262.128.11.37</v>
          </cell>
        </row>
        <row r="606">
          <cell r="A606" t="str">
            <v>NK562361138</v>
          </cell>
          <cell r="B606" t="str">
            <v>PCCE</v>
          </cell>
          <cell r="C606" t="str">
            <v>DLEP</v>
          </cell>
          <cell r="D606" t="str">
            <v xml:space="preserve">MINISTERE DE L'EDUCATION </v>
          </cell>
          <cell r="E606" t="str">
            <v>NK5.623.6.262.128.11.38</v>
          </cell>
        </row>
        <row r="607">
          <cell r="A607" t="str">
            <v>NK562361139</v>
          </cell>
          <cell r="B607" t="str">
            <v>PCCE</v>
          </cell>
          <cell r="C607" t="str">
            <v>DLEP</v>
          </cell>
          <cell r="D607" t="str">
            <v xml:space="preserve">MINISTERE DE L'EDUCATION </v>
          </cell>
          <cell r="E607" t="str">
            <v>NK5.623.6.262.128.11.39</v>
          </cell>
        </row>
        <row r="608">
          <cell r="A608" t="str">
            <v>NK562361240</v>
          </cell>
          <cell r="B608" t="str">
            <v>PCCE</v>
          </cell>
          <cell r="C608" t="str">
            <v>DLEP</v>
          </cell>
          <cell r="D608" t="str">
            <v xml:space="preserve">MINISTERE DE L'EDUCATION </v>
          </cell>
          <cell r="E608" t="str">
            <v>NK5.623.6.262.128.12.40</v>
          </cell>
        </row>
        <row r="609">
          <cell r="A609" t="str">
            <v>NK562361341</v>
          </cell>
          <cell r="B609" t="str">
            <v>PCCE</v>
          </cell>
          <cell r="C609" t="str">
            <v xml:space="preserve">DLEP </v>
          </cell>
          <cell r="D609" t="str">
            <v xml:space="preserve">MINISTERE DE L'EDUCATION </v>
          </cell>
          <cell r="E609" t="str">
            <v>NK5.623.6.262.128.13.41</v>
          </cell>
        </row>
        <row r="610">
          <cell r="A610" t="str">
            <v>NK562361342</v>
          </cell>
          <cell r="B610" t="str">
            <v>PCCE</v>
          </cell>
          <cell r="C610" t="str">
            <v xml:space="preserve">DLEP </v>
          </cell>
          <cell r="D610" t="str">
            <v xml:space="preserve">MINISTERE DE L'EDUCATION </v>
          </cell>
          <cell r="E610" t="str">
            <v>NK5.623.6.262.128.13.42</v>
          </cell>
        </row>
        <row r="611">
          <cell r="A611" t="str">
            <v>NK562371017</v>
          </cell>
          <cell r="B611" t="str">
            <v>PCCE</v>
          </cell>
          <cell r="C611" t="str">
            <v>DLEP</v>
          </cell>
          <cell r="D611" t="str">
            <v xml:space="preserve">MINISTERE DE L'EDUCATION </v>
          </cell>
          <cell r="E611" t="str">
            <v>NK5.623.7.262.128.10.17</v>
          </cell>
        </row>
        <row r="612">
          <cell r="A612" t="str">
            <v>NK562371018</v>
          </cell>
          <cell r="B612" t="str">
            <v>PCCE</v>
          </cell>
          <cell r="C612" t="str">
            <v>DLEP</v>
          </cell>
          <cell r="D612" t="str">
            <v xml:space="preserve">MINISTERE DE L'EDUCATION </v>
          </cell>
          <cell r="E612" t="str">
            <v>NK5.623.7.262.128.10.18</v>
          </cell>
        </row>
        <row r="613">
          <cell r="A613" t="str">
            <v>NK562371119</v>
          </cell>
          <cell r="B613" t="str">
            <v>PCCE</v>
          </cell>
          <cell r="C613" t="str">
            <v>DLEP</v>
          </cell>
          <cell r="D613" t="str">
            <v xml:space="preserve">MINISTERE DE L'EDUCATION </v>
          </cell>
          <cell r="E613" t="str">
            <v>NK5.623.7.262.128.11.19</v>
          </cell>
        </row>
        <row r="614">
          <cell r="A614" t="str">
            <v>NK562371120</v>
          </cell>
          <cell r="B614" t="str">
            <v>PCCE</v>
          </cell>
          <cell r="C614" t="str">
            <v>DLEP</v>
          </cell>
          <cell r="D614" t="str">
            <v xml:space="preserve">MINISTERE DE L'EDUCATION </v>
          </cell>
          <cell r="E614" t="str">
            <v>NK5.623.7.262.128.11.20</v>
          </cell>
        </row>
        <row r="615">
          <cell r="A615" t="str">
            <v>NK562371221</v>
          </cell>
          <cell r="B615" t="str">
            <v>PCCE</v>
          </cell>
          <cell r="C615" t="str">
            <v>DLEP</v>
          </cell>
          <cell r="D615" t="str">
            <v xml:space="preserve">MINISTERE DE L'EDUCATION </v>
          </cell>
          <cell r="E615" t="str">
            <v>NK5.623.7.262.128.12.21</v>
          </cell>
        </row>
        <row r="616">
          <cell r="A616" t="str">
            <v>NK562371322</v>
          </cell>
          <cell r="B616" t="str">
            <v>PCCE</v>
          </cell>
          <cell r="C616" t="str">
            <v xml:space="preserve">DLEP </v>
          </cell>
          <cell r="D616" t="str">
            <v xml:space="preserve">MINISTERE DE L'EDUCATION </v>
          </cell>
          <cell r="E616" t="str">
            <v>NK5.623.7.262.128.13.22</v>
          </cell>
        </row>
        <row r="617">
          <cell r="A617" t="str">
            <v>NK562381047</v>
          </cell>
          <cell r="B617" t="str">
            <v>PCCE</v>
          </cell>
          <cell r="C617" t="str">
            <v>DLEP</v>
          </cell>
          <cell r="D617" t="str">
            <v xml:space="preserve">MINISTERE DE L'EDUCATION </v>
          </cell>
          <cell r="E617" t="str">
            <v>NK5.623.8.262.128.10.47</v>
          </cell>
        </row>
        <row r="618">
          <cell r="A618" t="str">
            <v>NK562381148</v>
          </cell>
          <cell r="B618" t="str">
            <v>PCCE</v>
          </cell>
          <cell r="C618" t="str">
            <v>DLEP</v>
          </cell>
          <cell r="D618" t="str">
            <v xml:space="preserve">MINISTERE DE L'EDUCATION </v>
          </cell>
          <cell r="E618" t="str">
            <v>NK5.623.8.262.128.11.48</v>
          </cell>
        </row>
        <row r="619">
          <cell r="A619" t="str">
            <v>NK562381149</v>
          </cell>
          <cell r="B619" t="str">
            <v>PCCE</v>
          </cell>
          <cell r="C619" t="str">
            <v>DLEP</v>
          </cell>
          <cell r="D619" t="str">
            <v xml:space="preserve">MINISTERE DE L'EDUCATION </v>
          </cell>
          <cell r="E619" t="str">
            <v>NK5.623.8.262.128.11.49</v>
          </cell>
        </row>
        <row r="620">
          <cell r="A620" t="str">
            <v>NK562381150</v>
          </cell>
          <cell r="B620" t="str">
            <v>PCCE</v>
          </cell>
          <cell r="C620" t="str">
            <v>DLEP</v>
          </cell>
          <cell r="D620" t="str">
            <v xml:space="preserve">MINISTERE DE L'EDUCATION </v>
          </cell>
          <cell r="E620" t="str">
            <v>NK5.623.8.262.128.11.50</v>
          </cell>
        </row>
        <row r="621">
          <cell r="A621" t="str">
            <v>NK562381151</v>
          </cell>
          <cell r="B621" t="str">
            <v>PCCE</v>
          </cell>
          <cell r="C621" t="str">
            <v>DLEP</v>
          </cell>
          <cell r="D621" t="str">
            <v xml:space="preserve">MINISTERE DE L'EDUCATION </v>
          </cell>
          <cell r="E621" t="str">
            <v>NK5.623.8.262.128.11.51</v>
          </cell>
        </row>
        <row r="622">
          <cell r="A622" t="str">
            <v>NK562381152</v>
          </cell>
          <cell r="B622" t="str">
            <v>PCCE</v>
          </cell>
          <cell r="C622" t="str">
            <v>DLEP</v>
          </cell>
          <cell r="D622" t="str">
            <v xml:space="preserve">MINISTERE DE L'EDUCATION </v>
          </cell>
          <cell r="E622" t="str">
            <v>NK5.623.8.262.128.11.52</v>
          </cell>
        </row>
        <row r="623">
          <cell r="A623" t="str">
            <v>NK562381153</v>
          </cell>
          <cell r="B623" t="str">
            <v>PCCE</v>
          </cell>
          <cell r="C623" t="str">
            <v>DLEP</v>
          </cell>
          <cell r="D623" t="str">
            <v xml:space="preserve">MINISTERE DE L'EDUCATION </v>
          </cell>
          <cell r="E623" t="str">
            <v>NK5.623.8.262.128.11.53</v>
          </cell>
        </row>
        <row r="624">
          <cell r="A624" t="str">
            <v>NK562381154</v>
          </cell>
          <cell r="B624" t="str">
            <v>PCCE</v>
          </cell>
          <cell r="C624" t="str">
            <v>DLEP</v>
          </cell>
          <cell r="D624" t="str">
            <v xml:space="preserve">MINISTERE DE L'EDUCATION </v>
          </cell>
          <cell r="E624" t="str">
            <v>NK5.623.8.262.128.11.54</v>
          </cell>
        </row>
        <row r="625">
          <cell r="A625" t="str">
            <v>NK562381155</v>
          </cell>
          <cell r="B625" t="str">
            <v>PCCE</v>
          </cell>
          <cell r="C625" t="str">
            <v>DLEP</v>
          </cell>
          <cell r="D625" t="str">
            <v xml:space="preserve">MINISTERE DE L'EDUCATION </v>
          </cell>
          <cell r="E625" t="str">
            <v>NK5.623.8.262.128.11.55</v>
          </cell>
        </row>
        <row r="626">
          <cell r="A626" t="str">
            <v>NK562381156</v>
          </cell>
          <cell r="B626" t="str">
            <v>PCCE</v>
          </cell>
          <cell r="C626" t="str">
            <v>DLEP</v>
          </cell>
          <cell r="D626" t="str">
            <v xml:space="preserve">MINISTERE DE L'EDUCATION </v>
          </cell>
          <cell r="E626" t="str">
            <v>NK5.623.8.262.128.11.56</v>
          </cell>
        </row>
        <row r="627">
          <cell r="A627" t="str">
            <v>NK562381157</v>
          </cell>
          <cell r="B627" t="str">
            <v>PCCE</v>
          </cell>
          <cell r="C627" t="str">
            <v>DLEP</v>
          </cell>
          <cell r="D627" t="str">
            <v xml:space="preserve">MINISTERE DE L'EDUCATION </v>
          </cell>
          <cell r="E627" t="str">
            <v>NK5.623.8.262.128.11.57</v>
          </cell>
        </row>
        <row r="628">
          <cell r="A628" t="str">
            <v>NK562381158</v>
          </cell>
          <cell r="B628" t="str">
            <v>PCCE</v>
          </cell>
          <cell r="C628" t="str">
            <v>DLEP</v>
          </cell>
          <cell r="D628" t="str">
            <v xml:space="preserve">MINISTERE DE L'EDUCATION </v>
          </cell>
          <cell r="E628" t="str">
            <v>NK5.623.8.262.128.11.58</v>
          </cell>
        </row>
        <row r="629">
          <cell r="A629" t="str">
            <v>NK562381159</v>
          </cell>
          <cell r="B629" t="str">
            <v>PCCE</v>
          </cell>
          <cell r="C629" t="str">
            <v>DLEP</v>
          </cell>
          <cell r="D629" t="str">
            <v xml:space="preserve">MINISTERE DE L'EDUCATION </v>
          </cell>
          <cell r="E629" t="str">
            <v>NK5.623.8.262.128.11.59</v>
          </cell>
        </row>
        <row r="630">
          <cell r="A630" t="str">
            <v>NK562381160</v>
          </cell>
          <cell r="B630" t="str">
            <v>PCCE</v>
          </cell>
          <cell r="C630" t="str">
            <v>DLEP</v>
          </cell>
          <cell r="D630" t="str">
            <v xml:space="preserve">MINISTERE DE L'EDUCATION </v>
          </cell>
          <cell r="E630" t="str">
            <v>NK5.623.8.262.128.11.60</v>
          </cell>
        </row>
        <row r="631">
          <cell r="A631" t="str">
            <v>NK562381161</v>
          </cell>
          <cell r="B631" t="str">
            <v>PCCE</v>
          </cell>
          <cell r="C631" t="str">
            <v>DLEP</v>
          </cell>
          <cell r="D631" t="str">
            <v xml:space="preserve">MINISTERE DE L'EDUCATION </v>
          </cell>
          <cell r="E631" t="str">
            <v>NK5.623.8.262.128.11.61</v>
          </cell>
        </row>
        <row r="632">
          <cell r="A632" t="str">
            <v>NK562381162</v>
          </cell>
          <cell r="B632" t="str">
            <v>PCCE</v>
          </cell>
          <cell r="C632" t="str">
            <v>DLEP</v>
          </cell>
          <cell r="D632" t="str">
            <v xml:space="preserve">MINISTERE DE L'EDUCATION </v>
          </cell>
          <cell r="E632" t="str">
            <v>NK5.623.8.262.128.11.62</v>
          </cell>
        </row>
        <row r="633">
          <cell r="A633" t="str">
            <v>NK562381168</v>
          </cell>
          <cell r="B633" t="str">
            <v>PCCE</v>
          </cell>
          <cell r="C633" t="str">
            <v>DLEP</v>
          </cell>
          <cell r="D633" t="str">
            <v xml:space="preserve">MINISTERE DE L'EDUCATION </v>
          </cell>
          <cell r="E633" t="str">
            <v>NK5.623.8.262.128.11.68</v>
          </cell>
        </row>
        <row r="634">
          <cell r="A634" t="str">
            <v>NK562381171</v>
          </cell>
          <cell r="B634" t="str">
            <v>PCCE</v>
          </cell>
          <cell r="C634" t="str">
            <v>DLEP</v>
          </cell>
          <cell r="D634" t="str">
            <v xml:space="preserve">MINISTERE DE L'EDUCATION </v>
          </cell>
          <cell r="E634" t="str">
            <v>NK5.623.8.262.128.11.71</v>
          </cell>
        </row>
        <row r="635">
          <cell r="A635" t="str">
            <v>NK562381263</v>
          </cell>
          <cell r="B635" t="str">
            <v>PCCE</v>
          </cell>
          <cell r="C635" t="str">
            <v>DLEP</v>
          </cell>
          <cell r="D635" t="str">
            <v xml:space="preserve">MINISTERE DE L'EDUCATION </v>
          </cell>
          <cell r="E635" t="str">
            <v>NK5.623.8.262.128.12.63</v>
          </cell>
        </row>
        <row r="636">
          <cell r="A636" t="str">
            <v>NK562381264</v>
          </cell>
          <cell r="B636" t="str">
            <v>PCCE</v>
          </cell>
          <cell r="C636" t="str">
            <v>DLEP</v>
          </cell>
          <cell r="D636" t="str">
            <v xml:space="preserve">MINISTERE DE L'EDUCATION </v>
          </cell>
          <cell r="E636" t="str">
            <v>NK5.623.8.262.128.12.64</v>
          </cell>
        </row>
        <row r="637">
          <cell r="A637" t="str">
            <v>NK562381265</v>
          </cell>
          <cell r="B637" t="str">
            <v>PCCE</v>
          </cell>
          <cell r="C637" t="str">
            <v>DLEP</v>
          </cell>
          <cell r="D637" t="str">
            <v xml:space="preserve">MINISTERE DE L'EDUCATION </v>
          </cell>
          <cell r="E637" t="str">
            <v>NK5.623.8.262.128.12.65</v>
          </cell>
        </row>
        <row r="638">
          <cell r="A638" t="str">
            <v>NK562381266</v>
          </cell>
          <cell r="B638" t="str">
            <v>PCCE</v>
          </cell>
          <cell r="C638" t="str">
            <v>DLEP</v>
          </cell>
          <cell r="D638" t="str">
            <v xml:space="preserve">MINISTERE DE L'EDUCATION </v>
          </cell>
          <cell r="E638" t="str">
            <v>NK5.623.8.262.128.12.66</v>
          </cell>
        </row>
        <row r="639">
          <cell r="A639" t="str">
            <v>NK562381267</v>
          </cell>
          <cell r="B639" t="str">
            <v>PCCE</v>
          </cell>
          <cell r="C639" t="str">
            <v>DLEP</v>
          </cell>
          <cell r="D639" t="str">
            <v xml:space="preserve">MINISTERE DE L'EDUCATION </v>
          </cell>
          <cell r="E639" t="str">
            <v>NK5.623.8.262.128.12.67</v>
          </cell>
        </row>
        <row r="640">
          <cell r="A640" t="str">
            <v>NK562381269</v>
          </cell>
          <cell r="B640" t="str">
            <v>PCCE</v>
          </cell>
          <cell r="C640" t="str">
            <v>DLEP</v>
          </cell>
          <cell r="D640" t="str">
            <v xml:space="preserve">MINISTERE DE L'EDUCATION </v>
          </cell>
          <cell r="E640" t="str">
            <v>NK5.623.8.262.128.12.69</v>
          </cell>
        </row>
        <row r="641">
          <cell r="A641" t="str">
            <v>NK562381270</v>
          </cell>
          <cell r="B641" t="str">
            <v>PCCE</v>
          </cell>
          <cell r="C641" t="str">
            <v>DLEP</v>
          </cell>
          <cell r="D641" t="str">
            <v xml:space="preserve">MINISTERE DE L'EDUCATION </v>
          </cell>
          <cell r="E641" t="str">
            <v>NK5.623.8.262.128.12.70</v>
          </cell>
        </row>
        <row r="642">
          <cell r="A642" t="str">
            <v>NK562381272</v>
          </cell>
          <cell r="B642" t="str">
            <v>PCCE</v>
          </cell>
          <cell r="C642" t="str">
            <v>DLEP</v>
          </cell>
          <cell r="D642" t="str">
            <v xml:space="preserve">MINISTERE DE L'EDUCATION </v>
          </cell>
          <cell r="E642" t="str">
            <v>NK5.623.8.262.128.12.72</v>
          </cell>
        </row>
        <row r="643">
          <cell r="A643" t="str">
            <v>NK562381273</v>
          </cell>
          <cell r="B643" t="str">
            <v>PCCE</v>
          </cell>
          <cell r="C643" t="str">
            <v>DLEP</v>
          </cell>
          <cell r="D643" t="str">
            <v xml:space="preserve">MINISTERE DE L'EDUCATION </v>
          </cell>
          <cell r="E643" t="str">
            <v>NK5.623.8.262.128.12.73</v>
          </cell>
        </row>
        <row r="644">
          <cell r="A644" t="str">
            <v>NK562381274</v>
          </cell>
          <cell r="B644" t="str">
            <v>PCCE</v>
          </cell>
          <cell r="C644" t="str">
            <v>DLEP</v>
          </cell>
          <cell r="D644" t="str">
            <v xml:space="preserve">MINISTERE DE L'EDUCATION </v>
          </cell>
          <cell r="E644" t="str">
            <v>NK5.623.8.262.128.12.74</v>
          </cell>
        </row>
        <row r="645">
          <cell r="A645" t="str">
            <v>NK562381275</v>
          </cell>
          <cell r="B645" t="str">
            <v>PCCE</v>
          </cell>
          <cell r="C645" t="str">
            <v>DLEP</v>
          </cell>
          <cell r="D645" t="str">
            <v xml:space="preserve">MINISTERE DE L'EDUCATION </v>
          </cell>
          <cell r="E645" t="str">
            <v>NK5.623.8.262.128.12.75</v>
          </cell>
        </row>
        <row r="646">
          <cell r="A646" t="str">
            <v>NK562381278</v>
          </cell>
          <cell r="B646" t="str">
            <v>PCCE</v>
          </cell>
          <cell r="C646" t="str">
            <v>DLEP</v>
          </cell>
          <cell r="D646" t="str">
            <v xml:space="preserve">MINISTERE DE L'EDUCATION </v>
          </cell>
          <cell r="E646" t="str">
            <v>NK5.623.8.262.128.12.78</v>
          </cell>
        </row>
        <row r="647">
          <cell r="A647" t="str">
            <v>NK562381279</v>
          </cell>
          <cell r="B647" t="str">
            <v>PCCE</v>
          </cell>
          <cell r="C647" t="str">
            <v>DLEP</v>
          </cell>
          <cell r="D647" t="str">
            <v xml:space="preserve">MINISTERE DE L'EDUCATION </v>
          </cell>
          <cell r="E647" t="str">
            <v>NK5.623.8.262.128.12.79</v>
          </cell>
        </row>
        <row r="648">
          <cell r="A648" t="str">
            <v>NK562381369</v>
          </cell>
          <cell r="B648" t="str">
            <v>PCCE</v>
          </cell>
          <cell r="C648" t="str">
            <v xml:space="preserve">DLEP </v>
          </cell>
          <cell r="D648" t="str">
            <v xml:space="preserve">MINISTERE DE L'EDUCATION </v>
          </cell>
          <cell r="E648" t="str">
            <v>NK5.623.8.262.128.13.69</v>
          </cell>
        </row>
        <row r="649">
          <cell r="A649" t="str">
            <v>NK562381370</v>
          </cell>
          <cell r="B649" t="str">
            <v>PCCE</v>
          </cell>
          <cell r="C649" t="str">
            <v xml:space="preserve">DLEP </v>
          </cell>
          <cell r="D649" t="str">
            <v xml:space="preserve">MINISTERE DE L'EDUCATION </v>
          </cell>
          <cell r="E649" t="str">
            <v>NK5.623.8.262.128.13.70</v>
          </cell>
        </row>
        <row r="650">
          <cell r="A650" t="str">
            <v>NK562381371</v>
          </cell>
          <cell r="B650" t="str">
            <v>PCCE</v>
          </cell>
          <cell r="C650" t="str">
            <v xml:space="preserve">DLEP </v>
          </cell>
          <cell r="D650" t="str">
            <v xml:space="preserve">MINISTERE DE L'EDUCATION </v>
          </cell>
          <cell r="E650" t="str">
            <v>NK5.623.8.262.128.13.71</v>
          </cell>
        </row>
        <row r="651">
          <cell r="A651" t="str">
            <v>NK562381372</v>
          </cell>
          <cell r="B651" t="str">
            <v>PCCE</v>
          </cell>
          <cell r="C651" t="str">
            <v xml:space="preserve">DLEP </v>
          </cell>
          <cell r="D651" t="str">
            <v xml:space="preserve">MINISTERE DE L'EDUCATION </v>
          </cell>
          <cell r="E651" t="str">
            <v>NK5.623.8.262.128.13.72</v>
          </cell>
        </row>
        <row r="652">
          <cell r="A652" t="str">
            <v>NK562381380</v>
          </cell>
          <cell r="B652" t="str">
            <v>PCCE</v>
          </cell>
          <cell r="C652" t="str">
            <v xml:space="preserve">DLEP </v>
          </cell>
          <cell r="D652" t="str">
            <v xml:space="preserve">MINISTERE DE L'EDUCATION </v>
          </cell>
          <cell r="E652" t="str">
            <v>NK5.623.8.262.128.13.80</v>
          </cell>
        </row>
        <row r="653">
          <cell r="A653" t="str">
            <v>NK562381381</v>
          </cell>
          <cell r="B653" t="str">
            <v>PCCE</v>
          </cell>
          <cell r="C653" t="str">
            <v xml:space="preserve">DLEP </v>
          </cell>
          <cell r="D653" t="str">
            <v xml:space="preserve">MINISTERE DE L'EDUCATION </v>
          </cell>
          <cell r="E653" t="str">
            <v>NK5.623.8.262.128.13.81</v>
          </cell>
        </row>
        <row r="654">
          <cell r="A654" t="str">
            <v>NK562381382</v>
          </cell>
          <cell r="B654" t="str">
            <v>PCCE</v>
          </cell>
          <cell r="C654" t="str">
            <v xml:space="preserve">DLEP </v>
          </cell>
          <cell r="D654" t="str">
            <v xml:space="preserve">MINISTERE DE L'EDUCATION </v>
          </cell>
          <cell r="E654" t="str">
            <v>NK5.623.8.262.128.13.82</v>
          </cell>
        </row>
        <row r="655">
          <cell r="A655" t="str">
            <v>NK562381383</v>
          </cell>
          <cell r="B655" t="str">
            <v>PCCE</v>
          </cell>
          <cell r="C655" t="str">
            <v xml:space="preserve">DLEP </v>
          </cell>
          <cell r="D655" t="str">
            <v xml:space="preserve">MINISTERE DE L'EDUCATION </v>
          </cell>
          <cell r="E655" t="str">
            <v>NK5.623.8.262.128.13.83</v>
          </cell>
        </row>
        <row r="656">
          <cell r="A656" t="str">
            <v>NK562381384</v>
          </cell>
          <cell r="B656" t="str">
            <v>PCCE</v>
          </cell>
          <cell r="C656" t="str">
            <v xml:space="preserve">DLEP </v>
          </cell>
          <cell r="D656" t="str">
            <v xml:space="preserve">MINISTERE DE L'EDUCATION </v>
          </cell>
          <cell r="E656" t="str">
            <v>NK5.623.8.262.128.13.84</v>
          </cell>
        </row>
        <row r="657">
          <cell r="A657" t="str">
            <v>NK562381385</v>
          </cell>
          <cell r="B657" t="str">
            <v>PCCE</v>
          </cell>
          <cell r="C657" t="str">
            <v xml:space="preserve">DLEP </v>
          </cell>
          <cell r="D657" t="str">
            <v xml:space="preserve">MINISTERE DE L'EDUCATION </v>
          </cell>
          <cell r="E657" t="str">
            <v>NK5.623.8.262.128.13.85</v>
          </cell>
        </row>
        <row r="658">
          <cell r="A658" t="str">
            <v>NK562381386</v>
          </cell>
          <cell r="B658" t="str">
            <v>PCCE</v>
          </cell>
          <cell r="C658" t="str">
            <v xml:space="preserve">DLEP </v>
          </cell>
          <cell r="D658" t="str">
            <v xml:space="preserve">MINISTERE DE L'EDUCATION </v>
          </cell>
          <cell r="E658" t="str">
            <v>NK5.623.8.262.128.13.86</v>
          </cell>
        </row>
        <row r="659">
          <cell r="A659" t="str">
            <v>NK562381387</v>
          </cell>
          <cell r="B659" t="str">
            <v>PCCE</v>
          </cell>
          <cell r="C659" t="str">
            <v xml:space="preserve">DLEP </v>
          </cell>
          <cell r="D659" t="str">
            <v xml:space="preserve">MINISTERE DE L'EDUCATION </v>
          </cell>
          <cell r="E659" t="str">
            <v>NK5.623.8.262.128.13.87</v>
          </cell>
        </row>
        <row r="660">
          <cell r="A660" t="str">
            <v>NK562381388</v>
          </cell>
          <cell r="B660" t="str">
            <v>PCCE</v>
          </cell>
          <cell r="C660" t="str">
            <v xml:space="preserve">DLEP </v>
          </cell>
          <cell r="D660" t="str">
            <v xml:space="preserve">MINISTERE DE L'EDUCATION </v>
          </cell>
          <cell r="E660" t="str">
            <v>NK5.623.8.262.128.13.88</v>
          </cell>
        </row>
        <row r="661">
          <cell r="A661" t="str">
            <v>NK562381389</v>
          </cell>
          <cell r="B661" t="str">
            <v>PCCE</v>
          </cell>
          <cell r="C661" t="str">
            <v xml:space="preserve">DLEP </v>
          </cell>
          <cell r="D661" t="str">
            <v xml:space="preserve">MINISTERE DE L'EDUCATION </v>
          </cell>
          <cell r="E661" t="str">
            <v>NK5.623.8.262.128.13.89</v>
          </cell>
        </row>
        <row r="662">
          <cell r="A662" t="str">
            <v>NK5631--11--</v>
          </cell>
          <cell r="B662" t="str">
            <v>PCCE</v>
          </cell>
          <cell r="C662" t="str">
            <v>DEFP</v>
          </cell>
          <cell r="D662" t="str">
            <v xml:space="preserve">MINISTERE DE LA FORMATION </v>
          </cell>
          <cell r="E662" t="str">
            <v>NK5.631.--.262.128.11.--</v>
          </cell>
        </row>
        <row r="663">
          <cell r="A663" t="str">
            <v>NK5631--11--</v>
          </cell>
          <cell r="B663" t="str">
            <v>PCCE</v>
          </cell>
          <cell r="C663" t="str">
            <v>DEFP</v>
          </cell>
          <cell r="D663" t="str">
            <v xml:space="preserve">MINISTERE DE LA FORMATION </v>
          </cell>
          <cell r="E663" t="str">
            <v>NK5.631.--.262.128.11.--</v>
          </cell>
        </row>
        <row r="664">
          <cell r="A664" t="str">
            <v>NK5631--13--</v>
          </cell>
          <cell r="B664" t="str">
            <v>PCCE</v>
          </cell>
          <cell r="C664" t="str">
            <v>DEFP</v>
          </cell>
          <cell r="D664" t="str">
            <v xml:space="preserve">MINISTERE DE LA FORMATION </v>
          </cell>
          <cell r="E664" t="str">
            <v>NK5.631.--.262.128.13.--</v>
          </cell>
        </row>
        <row r="665">
          <cell r="A665" t="str">
            <v>NK5631--14--</v>
          </cell>
          <cell r="B665" t="str">
            <v>PCCE</v>
          </cell>
          <cell r="C665" t="str">
            <v>DEFP</v>
          </cell>
          <cell r="D665" t="str">
            <v xml:space="preserve">MINISTERE DE LA FORMATION </v>
          </cell>
          <cell r="E665" t="str">
            <v>NK5.631.--.262.128.14.--</v>
          </cell>
        </row>
        <row r="666">
          <cell r="A666" t="str">
            <v>NK5631--14--</v>
          </cell>
          <cell r="B666" t="str">
            <v>PCCE</v>
          </cell>
          <cell r="C666" t="str">
            <v>DEFP</v>
          </cell>
          <cell r="D666" t="str">
            <v xml:space="preserve">MINISTERE DE LA FORMATION </v>
          </cell>
          <cell r="E666" t="str">
            <v>NK5.631.--.262.128.14.--</v>
          </cell>
        </row>
        <row r="667">
          <cell r="A667" t="str">
            <v>NK5631--14--</v>
          </cell>
          <cell r="B667" t="str">
            <v>PCCE</v>
          </cell>
          <cell r="C667" t="str">
            <v>DEFP</v>
          </cell>
          <cell r="D667" t="str">
            <v xml:space="preserve">MINISTERE DE LA FORMATION </v>
          </cell>
          <cell r="E667" t="str">
            <v>NK5.631.--.262.128.14.--</v>
          </cell>
        </row>
        <row r="668">
          <cell r="A668" t="str">
            <v>NK5631--14--</v>
          </cell>
          <cell r="B668" t="str">
            <v>PCCE</v>
          </cell>
          <cell r="C668" t="str">
            <v>DEFP</v>
          </cell>
          <cell r="D668" t="str">
            <v xml:space="preserve">MINISTERE DE LA FORMATION </v>
          </cell>
          <cell r="E668" t="str">
            <v>NK5.631.--.262.128.14.--</v>
          </cell>
        </row>
        <row r="669">
          <cell r="A669" t="str">
            <v>NK563111101</v>
          </cell>
          <cell r="B669" t="str">
            <v>PCCE</v>
          </cell>
          <cell r="C669" t="str">
            <v>DEFP</v>
          </cell>
          <cell r="D669" t="str">
            <v xml:space="preserve">MINISTERE DE LA FORMATION </v>
          </cell>
          <cell r="E669" t="str">
            <v>NK5.631.1.262.128.11.01</v>
          </cell>
        </row>
        <row r="670">
          <cell r="A670" t="str">
            <v>NK563111102</v>
          </cell>
          <cell r="B670" t="str">
            <v>PCCE</v>
          </cell>
          <cell r="C670" t="str">
            <v>DEFP</v>
          </cell>
          <cell r="D670" t="str">
            <v xml:space="preserve">MINISTERE DE LA FORMATION </v>
          </cell>
          <cell r="E670" t="str">
            <v>NK5.631.1.262.128.11.02</v>
          </cell>
        </row>
        <row r="671">
          <cell r="A671" t="str">
            <v>NK563111203</v>
          </cell>
          <cell r="B671" t="str">
            <v>PCCE</v>
          </cell>
          <cell r="C671" t="str">
            <v>DEFP</v>
          </cell>
          <cell r="D671" t="str">
            <v xml:space="preserve">MINISTERE DE LA FORMATION </v>
          </cell>
          <cell r="E671" t="str">
            <v>NK5.631.1.262.128.12.03</v>
          </cell>
        </row>
        <row r="672">
          <cell r="A672" t="str">
            <v>NK563121009</v>
          </cell>
          <cell r="B672" t="str">
            <v>PCCE</v>
          </cell>
          <cell r="C672" t="str">
            <v>DEFP</v>
          </cell>
          <cell r="D672" t="str">
            <v xml:space="preserve">MINISTERE DE LA FORMATION </v>
          </cell>
          <cell r="E672" t="str">
            <v>NK5.631.2.262.128.10.09</v>
          </cell>
        </row>
        <row r="673">
          <cell r="A673" t="str">
            <v>NK563121010</v>
          </cell>
          <cell r="B673" t="str">
            <v>PCCE</v>
          </cell>
          <cell r="C673" t="str">
            <v>DEFP</v>
          </cell>
          <cell r="D673" t="str">
            <v xml:space="preserve">MINISTERE DE LA FORMATION </v>
          </cell>
          <cell r="E673" t="str">
            <v>NK5.631.2.262.128.10.10</v>
          </cell>
        </row>
        <row r="674">
          <cell r="A674" t="str">
            <v>NK563121011</v>
          </cell>
          <cell r="B674" t="str">
            <v>PCCE</v>
          </cell>
          <cell r="C674" t="str">
            <v>DEFP</v>
          </cell>
          <cell r="D674" t="str">
            <v xml:space="preserve">MINISTERE DE LA FORMATION </v>
          </cell>
          <cell r="E674" t="str">
            <v>NK5.631.2.262.128.10.11</v>
          </cell>
        </row>
        <row r="675">
          <cell r="A675" t="str">
            <v>NK563121212</v>
          </cell>
          <cell r="B675" t="str">
            <v>PCCE</v>
          </cell>
          <cell r="C675" t="str">
            <v>DEFP</v>
          </cell>
          <cell r="D675" t="str">
            <v xml:space="preserve">MINISTERE DE LA FORMATION </v>
          </cell>
          <cell r="E675" t="str">
            <v>NK5.631.2.262.128.12.12</v>
          </cell>
        </row>
        <row r="676">
          <cell r="A676" t="str">
            <v>NK563161017</v>
          </cell>
          <cell r="B676" t="str">
            <v>PCCE</v>
          </cell>
          <cell r="C676" t="str">
            <v>DEFP</v>
          </cell>
          <cell r="D676" t="str">
            <v xml:space="preserve">MINISTERE DE LA FORMATION </v>
          </cell>
          <cell r="E676" t="str">
            <v>NK5.631.6.262.128.10.17</v>
          </cell>
        </row>
        <row r="677">
          <cell r="A677" t="str">
            <v>NK563161118</v>
          </cell>
          <cell r="B677" t="str">
            <v>PCCE</v>
          </cell>
          <cell r="C677" t="str">
            <v>DEFP</v>
          </cell>
          <cell r="D677" t="str">
            <v xml:space="preserve">MINISTERE DE LA FORMATION </v>
          </cell>
          <cell r="E677" t="str">
            <v>NK5.631.6.262.128.11.18</v>
          </cell>
        </row>
        <row r="678">
          <cell r="A678" t="str">
            <v>NK563161119</v>
          </cell>
          <cell r="B678" t="str">
            <v>PCCE</v>
          </cell>
          <cell r="C678" t="str">
            <v>DEFP</v>
          </cell>
          <cell r="D678" t="str">
            <v xml:space="preserve">MINISTERE DE LA FORMATION </v>
          </cell>
          <cell r="E678" t="str">
            <v>NK5.631.6.262.128.11.19</v>
          </cell>
        </row>
        <row r="679">
          <cell r="A679" t="str">
            <v>NK563171011</v>
          </cell>
          <cell r="B679" t="str">
            <v>PCCE</v>
          </cell>
          <cell r="C679" t="str">
            <v>DEFP</v>
          </cell>
          <cell r="D679" t="str">
            <v xml:space="preserve">MINISTERE DE LA FORMATION </v>
          </cell>
          <cell r="E679" t="str">
            <v>NK5.631.7.262.128.10.11</v>
          </cell>
        </row>
        <row r="680">
          <cell r="A680" t="str">
            <v>NK563181021</v>
          </cell>
          <cell r="B680" t="str">
            <v>PCCE</v>
          </cell>
          <cell r="C680" t="str">
            <v>DEFP</v>
          </cell>
          <cell r="D680" t="str">
            <v xml:space="preserve">MINISTERE DE LA FORMATION </v>
          </cell>
          <cell r="E680" t="str">
            <v>NK5.631.8.262.128.10.21</v>
          </cell>
        </row>
        <row r="681">
          <cell r="A681" t="str">
            <v>NK563181123</v>
          </cell>
          <cell r="B681" t="str">
            <v>PCCE</v>
          </cell>
          <cell r="C681" t="str">
            <v>DEFP</v>
          </cell>
          <cell r="D681" t="str">
            <v xml:space="preserve">MINISTERE DE LA FORMATION </v>
          </cell>
          <cell r="E681" t="str">
            <v>NK5.631.8.262.128.11.23</v>
          </cell>
        </row>
        <row r="682">
          <cell r="A682" t="str">
            <v>NK563181124</v>
          </cell>
          <cell r="B682" t="str">
            <v>PCCE</v>
          </cell>
          <cell r="C682" t="str">
            <v>DEFP</v>
          </cell>
          <cell r="D682" t="str">
            <v xml:space="preserve">MINISTERE DE LA FORMATION </v>
          </cell>
          <cell r="E682" t="str">
            <v>NK5.631.8.262.128.11.24</v>
          </cell>
        </row>
        <row r="683">
          <cell r="A683" t="str">
            <v>NK563181222</v>
          </cell>
          <cell r="B683" t="str">
            <v>PCCE</v>
          </cell>
          <cell r="C683" t="str">
            <v>DEFP</v>
          </cell>
          <cell r="D683" t="str">
            <v xml:space="preserve">MINISTERE DE LA FORMATION </v>
          </cell>
          <cell r="E683" t="str">
            <v>NK5.631.8.262.128.12.22</v>
          </cell>
        </row>
        <row r="684">
          <cell r="A684" t="str">
            <v>NK564211001</v>
          </cell>
          <cell r="B684" t="str">
            <v>PCCE</v>
          </cell>
          <cell r="C684" t="str">
            <v>DCW</v>
          </cell>
          <cell r="D684" t="str">
            <v xml:space="preserve">MINISTERE DE LA CULTURE </v>
          </cell>
          <cell r="E684" t="str">
            <v>NK5.642.1.262.128.10.01</v>
          </cell>
        </row>
        <row r="685">
          <cell r="A685" t="str">
            <v>NK564381005</v>
          </cell>
          <cell r="B685" t="str">
            <v>PCCE</v>
          </cell>
          <cell r="C685" t="str">
            <v>DSP</v>
          </cell>
          <cell r="D685" t="str">
            <v xml:space="preserve">MINISTERE DE LA SANTE </v>
          </cell>
          <cell r="E685" t="str">
            <v>NK5.643.8.262.128.10.05</v>
          </cell>
        </row>
        <row r="686">
          <cell r="A686" t="str">
            <v>NK564381006</v>
          </cell>
          <cell r="B686" t="str">
            <v>PCCE</v>
          </cell>
          <cell r="C686" t="str">
            <v>DSP</v>
          </cell>
          <cell r="D686" t="str">
            <v xml:space="preserve">MINISTERE DE LA SANTE </v>
          </cell>
          <cell r="E686" t="str">
            <v>NK5.643.8.262.128.10.06</v>
          </cell>
        </row>
        <row r="687">
          <cell r="A687" t="str">
            <v>NK564381207</v>
          </cell>
          <cell r="B687" t="str">
            <v>PCCE</v>
          </cell>
          <cell r="C687" t="str">
            <v>DSP</v>
          </cell>
          <cell r="D687" t="str">
            <v xml:space="preserve">MINISTERE DE LA SANTE </v>
          </cell>
          <cell r="E687" t="str">
            <v>NK5.643.8.262.128.12.07</v>
          </cell>
        </row>
        <row r="688">
          <cell r="A688" t="str">
            <v>NK572111260</v>
          </cell>
          <cell r="B688" t="str">
            <v>PCCE</v>
          </cell>
          <cell r="C688" t="str">
            <v>DLEP</v>
          </cell>
          <cell r="D688" t="str">
            <v xml:space="preserve">MINISTERE DE L'HABITAT ET DE L'URBANISME </v>
          </cell>
          <cell r="E688" t="str">
            <v>NK5.721.1.262.128.12.60</v>
          </cell>
        </row>
        <row r="689">
          <cell r="A689" t="str">
            <v>NK5722--11--</v>
          </cell>
          <cell r="B689" t="str">
            <v>PCCE</v>
          </cell>
          <cell r="C689" t="str">
            <v>DEFP</v>
          </cell>
          <cell r="D689" t="str">
            <v xml:space="preserve">MINISTERE DE L'HABITAT ET DE L'URBANISME </v>
          </cell>
          <cell r="E689" t="str">
            <v>NK5.722.--.262.128.11.--</v>
          </cell>
        </row>
        <row r="690">
          <cell r="A690" t="str">
            <v>NK572211101</v>
          </cell>
          <cell r="B690" t="str">
            <v>PCCE</v>
          </cell>
          <cell r="C690" t="str">
            <v>DEFP</v>
          </cell>
          <cell r="D690" t="str">
            <v xml:space="preserve">MINISTERE DE L'HABITAT ET DE L'URBANISME </v>
          </cell>
          <cell r="E690" t="str">
            <v>NK5.722.1.262.128.11.01</v>
          </cell>
        </row>
        <row r="691">
          <cell r="A691" t="str">
            <v>NK572211302</v>
          </cell>
          <cell r="B691" t="str">
            <v>PCCE</v>
          </cell>
          <cell r="C691" t="str">
            <v xml:space="preserve">DPC </v>
          </cell>
          <cell r="D691" t="str">
            <v xml:space="preserve">MINISTERE DE L'HABITAT ET DE L'URBANISME </v>
          </cell>
          <cell r="E691" t="str">
            <v>NK5.722.1.262.128.13.02</v>
          </cell>
        </row>
        <row r="692">
          <cell r="A692" t="str">
            <v>NK572221016</v>
          </cell>
          <cell r="B692" t="str">
            <v>PCCE</v>
          </cell>
          <cell r="C692" t="str">
            <v>DLEP</v>
          </cell>
          <cell r="D692" t="str">
            <v xml:space="preserve">MINISTERE DE L'HABITAT ET DE L'URBANISME </v>
          </cell>
          <cell r="E692" t="str">
            <v>NK5.722.2.262.128.10.16</v>
          </cell>
        </row>
        <row r="693">
          <cell r="A693" t="str">
            <v>NK572221117</v>
          </cell>
          <cell r="B693" t="str">
            <v>PCCE</v>
          </cell>
          <cell r="C693" t="str">
            <v>DLEP</v>
          </cell>
          <cell r="D693" t="str">
            <v xml:space="preserve">MINISTERE DE L'HABITAT ET DE L'URBANISME </v>
          </cell>
          <cell r="E693" t="str">
            <v>NK5.722.2.262.128.11.17</v>
          </cell>
        </row>
        <row r="694">
          <cell r="A694" t="str">
            <v>NK572221118</v>
          </cell>
          <cell r="B694" t="str">
            <v>PCCE</v>
          </cell>
          <cell r="C694" t="str">
            <v>DLEP</v>
          </cell>
          <cell r="D694" t="str">
            <v xml:space="preserve">MINISTERE DE L'HABITAT ET DE L'URBANISME </v>
          </cell>
          <cell r="E694" t="str">
            <v>NK5.722.2.262.128.11.18</v>
          </cell>
        </row>
        <row r="695">
          <cell r="A695" t="str">
            <v>NK572221119</v>
          </cell>
          <cell r="B695" t="str">
            <v>PCCE</v>
          </cell>
          <cell r="C695" t="str">
            <v>DLEP</v>
          </cell>
          <cell r="D695" t="str">
            <v xml:space="preserve">MINISTERE DE L'HABITAT ET DE L'URBANISME </v>
          </cell>
          <cell r="E695" t="str">
            <v>NK5.722.2.262.128.11.19</v>
          </cell>
        </row>
        <row r="696">
          <cell r="A696" t="str">
            <v>NK572221120</v>
          </cell>
          <cell r="B696" t="str">
            <v>PCCE</v>
          </cell>
          <cell r="C696" t="str">
            <v>DLEP</v>
          </cell>
          <cell r="D696" t="str">
            <v xml:space="preserve">MINISTERE DE L'HABITAT ET DE L'URBANISME </v>
          </cell>
          <cell r="E696" t="str">
            <v>NK5.722.2.262.128.11.20</v>
          </cell>
        </row>
        <row r="697">
          <cell r="A697" t="str">
            <v>NK572221221</v>
          </cell>
          <cell r="B697" t="str">
            <v>PCCE</v>
          </cell>
          <cell r="C697" t="str">
            <v>DLEP</v>
          </cell>
          <cell r="D697" t="str">
            <v xml:space="preserve">MINISTERE DE L'HABITAT ET DE L'URBANISME </v>
          </cell>
          <cell r="E697" t="str">
            <v>NK5.722.2.262.128.12.21</v>
          </cell>
        </row>
        <row r="698">
          <cell r="A698" t="str">
            <v>NK572221222</v>
          </cell>
          <cell r="B698" t="str">
            <v>PCCE</v>
          </cell>
          <cell r="C698" t="str">
            <v>DLEP</v>
          </cell>
          <cell r="D698" t="str">
            <v xml:space="preserve">MINISTERE DE L'HABITAT ET DE L'URBANISME </v>
          </cell>
          <cell r="E698" t="str">
            <v>NK5.722.2.262.128.12.22</v>
          </cell>
        </row>
        <row r="699">
          <cell r="A699" t="str">
            <v>NK572291001</v>
          </cell>
          <cell r="B699" t="str">
            <v>PCCE</v>
          </cell>
          <cell r="C699" t="str">
            <v>DLEP</v>
          </cell>
          <cell r="D699" t="str">
            <v xml:space="preserve">MINISTERE DE L'HABITAT ET DE L'URBANISME </v>
          </cell>
          <cell r="E699" t="str">
            <v>NK5.722.9.262.128.10.01</v>
          </cell>
        </row>
        <row r="700">
          <cell r="A700" t="str">
            <v>NK5731--11--</v>
          </cell>
          <cell r="B700" t="str">
            <v>PCCE</v>
          </cell>
          <cell r="C700" t="str">
            <v>DSP</v>
          </cell>
          <cell r="D700" t="str">
            <v xml:space="preserve">MINISTERE DE LA SANTE </v>
          </cell>
          <cell r="E700" t="str">
            <v>NK5.731.--.262.128.11.--</v>
          </cell>
        </row>
        <row r="701">
          <cell r="A701" t="str">
            <v>NK5731--13--</v>
          </cell>
          <cell r="B701" t="str">
            <v>PCCE</v>
          </cell>
          <cell r="C701" t="str">
            <v xml:space="preserve">DSP </v>
          </cell>
          <cell r="D701" t="str">
            <v xml:space="preserve">MINISTERE DE LA SANTE </v>
          </cell>
          <cell r="E701" t="str">
            <v>NK5.731.--.262.128.13.--</v>
          </cell>
        </row>
        <row r="702">
          <cell r="A702" t="str">
            <v>NK5731--14--</v>
          </cell>
          <cell r="B702" t="str">
            <v>PCCE</v>
          </cell>
          <cell r="C702" t="str">
            <v xml:space="preserve">DSP </v>
          </cell>
          <cell r="D702" t="str">
            <v xml:space="preserve">MINISTERE DE LA SANTE </v>
          </cell>
          <cell r="E702" t="str">
            <v>NK5.731.--.262.128.14.--</v>
          </cell>
        </row>
        <row r="703">
          <cell r="A703" t="str">
            <v>NK573111010</v>
          </cell>
          <cell r="B703" t="str">
            <v>PCCE</v>
          </cell>
          <cell r="C703" t="str">
            <v>DSP</v>
          </cell>
          <cell r="D703" t="str">
            <v xml:space="preserve">MINISTERE DE LA SANTE </v>
          </cell>
          <cell r="E703" t="str">
            <v>NK5.731.1.262.128.10.10</v>
          </cell>
        </row>
        <row r="704">
          <cell r="A704" t="str">
            <v>NK573131105</v>
          </cell>
          <cell r="B704" t="str">
            <v>PCCE</v>
          </cell>
          <cell r="C704" t="str">
            <v>DSP</v>
          </cell>
          <cell r="D704" t="str">
            <v xml:space="preserve">MINISTERE DE LA SANTE </v>
          </cell>
          <cell r="E704" t="str">
            <v>NK5.731.3.262.128.11.05</v>
          </cell>
        </row>
        <row r="705">
          <cell r="A705" t="str">
            <v>NK573131225</v>
          </cell>
          <cell r="B705" t="str">
            <v>PCCE</v>
          </cell>
          <cell r="C705" t="str">
            <v>DSP</v>
          </cell>
          <cell r="D705" t="str">
            <v xml:space="preserve">MINISTERE DE LA SANTE </v>
          </cell>
          <cell r="E705" t="str">
            <v>NK5.731.3.262.128.12.25</v>
          </cell>
        </row>
        <row r="706">
          <cell r="A706" t="str">
            <v>NK573131226</v>
          </cell>
          <cell r="B706" t="str">
            <v>PCCE</v>
          </cell>
          <cell r="C706" t="str">
            <v>DSP</v>
          </cell>
          <cell r="D706" t="str">
            <v xml:space="preserve">MINISTERE DE LA SANTE </v>
          </cell>
          <cell r="E706" t="str">
            <v>NK5.731.3.262.128.12.26</v>
          </cell>
        </row>
        <row r="707">
          <cell r="A707" t="str">
            <v>NK573171103</v>
          </cell>
          <cell r="B707" t="str">
            <v>PCCE</v>
          </cell>
          <cell r="C707" t="str">
            <v>DSP</v>
          </cell>
          <cell r="D707" t="str">
            <v xml:space="preserve">MINISTERE DE LA SANTE </v>
          </cell>
          <cell r="E707" t="str">
            <v>NK5.731.7.262.128.11.03</v>
          </cell>
        </row>
        <row r="708">
          <cell r="A708" t="str">
            <v>NK573181313</v>
          </cell>
          <cell r="B708" t="str">
            <v>PCCE</v>
          </cell>
          <cell r="C708" t="str">
            <v xml:space="preserve">DSP </v>
          </cell>
          <cell r="D708" t="str">
            <v xml:space="preserve">MINISTERE DE LA SANTE </v>
          </cell>
          <cell r="E708" t="str">
            <v>NK5.731.8.262.128.13.13</v>
          </cell>
        </row>
        <row r="709">
          <cell r="A709" t="str">
            <v>NK573191001</v>
          </cell>
          <cell r="B709" t="str">
            <v>PCCE</v>
          </cell>
          <cell r="C709" t="str">
            <v>DSP</v>
          </cell>
          <cell r="D709" t="str">
            <v xml:space="preserve">MINISTERE DE LA SANTE </v>
          </cell>
          <cell r="E709" t="str">
            <v>NK5.731.9.262.128.10.01</v>
          </cell>
        </row>
        <row r="710">
          <cell r="A710" t="str">
            <v>NK573191102</v>
          </cell>
          <cell r="B710" t="str">
            <v>PCCE</v>
          </cell>
          <cell r="C710" t="str">
            <v>DSP</v>
          </cell>
          <cell r="D710" t="str">
            <v xml:space="preserve">MINISTERE DE LA SANTE </v>
          </cell>
          <cell r="E710" t="str">
            <v>NK5.731.9.262.128.11.02</v>
          </cell>
        </row>
        <row r="711">
          <cell r="A711" t="str">
            <v>NK573191103</v>
          </cell>
          <cell r="B711" t="str">
            <v>PCCE</v>
          </cell>
          <cell r="C711" t="str">
            <v>DSP</v>
          </cell>
          <cell r="D711" t="str">
            <v xml:space="preserve">MINISTERE DE LA SANTE </v>
          </cell>
          <cell r="E711" t="str">
            <v>NK5.731.9.262.128.11.03</v>
          </cell>
        </row>
        <row r="712">
          <cell r="A712" t="str">
            <v>NK573191104</v>
          </cell>
          <cell r="B712" t="str">
            <v>PCCE</v>
          </cell>
          <cell r="C712" t="str">
            <v>DSP</v>
          </cell>
          <cell r="D712" t="str">
            <v xml:space="preserve">MINISTERE DE LA SANTE </v>
          </cell>
          <cell r="E712" t="str">
            <v>NK5.731.9.262.128.11.04</v>
          </cell>
        </row>
        <row r="713">
          <cell r="A713" t="str">
            <v>NK573331306</v>
          </cell>
          <cell r="B713" t="str">
            <v>PCCE</v>
          </cell>
          <cell r="C713" t="str">
            <v xml:space="preserve">DSP </v>
          </cell>
          <cell r="D713" t="str">
            <v xml:space="preserve">MINISTERE DE LA SANTE </v>
          </cell>
          <cell r="E713" t="str">
            <v>NK5.733.3.262.128.13.06</v>
          </cell>
        </row>
        <row r="714">
          <cell r="A714" t="str">
            <v>NK573341205</v>
          </cell>
          <cell r="B714" t="str">
            <v>PCCE</v>
          </cell>
          <cell r="C714" t="str">
            <v>DSP</v>
          </cell>
          <cell r="D714" t="str">
            <v xml:space="preserve">MINISTERE DE LA SANTE </v>
          </cell>
          <cell r="E714" t="str">
            <v>NK5.733.4.262.128.12.05</v>
          </cell>
        </row>
        <row r="715">
          <cell r="A715" t="str">
            <v>NK573351002</v>
          </cell>
          <cell r="B715" t="str">
            <v>PCCE</v>
          </cell>
          <cell r="C715" t="str">
            <v>DSP</v>
          </cell>
          <cell r="D715" t="str">
            <v xml:space="preserve">MINISTERE DE LA SANTE </v>
          </cell>
          <cell r="E715" t="str">
            <v>NK5.733.5.262.128.10.02</v>
          </cell>
        </row>
        <row r="716">
          <cell r="A716" t="str">
            <v>NK573351003</v>
          </cell>
          <cell r="B716" t="str">
            <v>PCCE</v>
          </cell>
          <cell r="C716" t="str">
            <v>DSP</v>
          </cell>
          <cell r="D716" t="str">
            <v xml:space="preserve">MINISTERE DE LA SANTE </v>
          </cell>
          <cell r="E716" t="str">
            <v>NK5.733.5.262.128.10.03</v>
          </cell>
        </row>
        <row r="717">
          <cell r="A717" t="str">
            <v>NK573351004</v>
          </cell>
          <cell r="B717" t="str">
            <v>PCCE</v>
          </cell>
          <cell r="C717" t="str">
            <v>DSP</v>
          </cell>
          <cell r="D717" t="str">
            <v xml:space="preserve">MINISTERE DE LA SANTE </v>
          </cell>
          <cell r="E717" t="str">
            <v>NK5.733.5.262.128.10.04</v>
          </cell>
        </row>
        <row r="718">
          <cell r="A718" t="str">
            <v>NK573351205</v>
          </cell>
          <cell r="B718" t="str">
            <v>PCCE</v>
          </cell>
          <cell r="C718" t="str">
            <v>DSP</v>
          </cell>
          <cell r="D718" t="str">
            <v xml:space="preserve">MINISTERE DE LA SANTE </v>
          </cell>
          <cell r="E718" t="str">
            <v>NK5.733.5.262.128.12.05</v>
          </cell>
        </row>
        <row r="719">
          <cell r="A719" t="str">
            <v>NK573361006</v>
          </cell>
          <cell r="B719" t="str">
            <v>PCCE</v>
          </cell>
          <cell r="C719" t="str">
            <v>DSP</v>
          </cell>
          <cell r="D719" t="str">
            <v xml:space="preserve">MINISTERE DE LA SANTE </v>
          </cell>
          <cell r="E719" t="str">
            <v>NK5.733.6.262.128.10.06</v>
          </cell>
        </row>
        <row r="720">
          <cell r="A720" t="str">
            <v>NK573361007</v>
          </cell>
          <cell r="B720" t="str">
            <v>PCCE</v>
          </cell>
          <cell r="C720" t="str">
            <v>DSP</v>
          </cell>
          <cell r="D720" t="str">
            <v xml:space="preserve">MINISTERE DE LA SANTE </v>
          </cell>
          <cell r="E720" t="str">
            <v>NK5.733.6.262.128.10.07</v>
          </cell>
        </row>
        <row r="721">
          <cell r="A721" t="str">
            <v>NK573361308</v>
          </cell>
          <cell r="B721" t="str">
            <v>PCCE</v>
          </cell>
          <cell r="C721" t="str">
            <v xml:space="preserve">DSP </v>
          </cell>
          <cell r="D721" t="str">
            <v xml:space="preserve">MINISTERE DE LA SANTE </v>
          </cell>
          <cell r="E721" t="str">
            <v>NK5.733.6.262.128.13.08</v>
          </cell>
        </row>
        <row r="722">
          <cell r="A722" t="str">
            <v>NK573381010</v>
          </cell>
          <cell r="B722" t="str">
            <v>PCCE</v>
          </cell>
          <cell r="C722" t="str">
            <v>DSP</v>
          </cell>
          <cell r="D722" t="str">
            <v xml:space="preserve">MINISTERE DE LA SANTE </v>
          </cell>
          <cell r="E722" t="str">
            <v>NK5.733.8.262.128.10.10</v>
          </cell>
        </row>
        <row r="723">
          <cell r="A723" t="str">
            <v>NK573391201</v>
          </cell>
          <cell r="B723" t="str">
            <v>PCCE</v>
          </cell>
          <cell r="C723" t="str">
            <v>DSP</v>
          </cell>
          <cell r="D723" t="str">
            <v xml:space="preserve">MINISTERE DE LA SANTE </v>
          </cell>
          <cell r="E723" t="str">
            <v>NK5.733.9.262.128.12.01</v>
          </cell>
        </row>
        <row r="724">
          <cell r="A724" t="str">
            <v>NK5741--11--</v>
          </cell>
          <cell r="B724" t="str">
            <v>PCCE</v>
          </cell>
          <cell r="C724" t="str">
            <v xml:space="preserve">DJS </v>
          </cell>
          <cell r="D724" t="str">
            <v xml:space="preserve">MINISTERE DE LA JEUNESSE ET DES SPORTS </v>
          </cell>
          <cell r="E724" t="str">
            <v>NK5.741.--.262.128.11.--</v>
          </cell>
        </row>
        <row r="725">
          <cell r="A725" t="str">
            <v>NK5741--14--</v>
          </cell>
          <cell r="B725" t="str">
            <v>PCCE</v>
          </cell>
          <cell r="C725" t="str">
            <v xml:space="preserve">DJS </v>
          </cell>
          <cell r="D725" t="str">
            <v xml:space="preserve">MINISTERE DE LA JEUNESSE ET DES SPORTS </v>
          </cell>
          <cell r="E725" t="str">
            <v>NK5.741.--.262.128.14.--</v>
          </cell>
        </row>
        <row r="726">
          <cell r="A726" t="str">
            <v>NK5741--14--</v>
          </cell>
          <cell r="B726" t="str">
            <v>PCCE</v>
          </cell>
          <cell r="C726" t="str">
            <v xml:space="preserve">DJS </v>
          </cell>
          <cell r="D726" t="str">
            <v xml:space="preserve">MINISTERE DE LA JEUNESSE ET DES SPORTS </v>
          </cell>
          <cell r="E726" t="str">
            <v>NK5.741.--.262.128.14.--</v>
          </cell>
        </row>
        <row r="727">
          <cell r="A727" t="str">
            <v>NK574111006</v>
          </cell>
          <cell r="B727" t="str">
            <v>PCCE</v>
          </cell>
          <cell r="C727" t="str">
            <v xml:space="preserve">DJS </v>
          </cell>
          <cell r="D727" t="str">
            <v xml:space="preserve">MINISTERE DE LA JEUNESSE ET DES SPORTS </v>
          </cell>
          <cell r="E727" t="str">
            <v>NK5.741.1.262.128.10.06</v>
          </cell>
        </row>
        <row r="728">
          <cell r="A728" t="str">
            <v>NK574111007</v>
          </cell>
          <cell r="B728" t="str">
            <v>PCCE</v>
          </cell>
          <cell r="C728" t="str">
            <v xml:space="preserve">DJS </v>
          </cell>
          <cell r="D728" t="str">
            <v xml:space="preserve">MINISTERE DE LA JEUNESSE ET DES SPORTS </v>
          </cell>
          <cell r="E728" t="str">
            <v>NK5.741.1.262.128.10.07</v>
          </cell>
        </row>
        <row r="729">
          <cell r="A729" t="str">
            <v>NK574111008</v>
          </cell>
          <cell r="B729" t="str">
            <v>PCCE</v>
          </cell>
          <cell r="C729" t="str">
            <v xml:space="preserve">DJS </v>
          </cell>
          <cell r="D729" t="str">
            <v xml:space="preserve">MINISTERE DE LA JEUNESSE ET DES SPORTS </v>
          </cell>
          <cell r="E729" t="str">
            <v>NK5.741.1.262.128.10.08</v>
          </cell>
        </row>
        <row r="730">
          <cell r="A730" t="str">
            <v>NK574111209</v>
          </cell>
          <cell r="B730" t="str">
            <v>PCCE</v>
          </cell>
          <cell r="C730" t="str">
            <v xml:space="preserve">DJS </v>
          </cell>
          <cell r="D730" t="str">
            <v xml:space="preserve">MINISTERE DE LA JEUNESSE ET DES SPORTS </v>
          </cell>
          <cell r="E730" t="str">
            <v>NK5.741.1.262.128.12.09</v>
          </cell>
        </row>
        <row r="731">
          <cell r="A731" t="str">
            <v>NK574181020</v>
          </cell>
          <cell r="B731" t="str">
            <v>PCCE</v>
          </cell>
          <cell r="C731" t="str">
            <v xml:space="preserve">DJS </v>
          </cell>
          <cell r="D731" t="str">
            <v xml:space="preserve">MINISTERE DE LA JEUNESSE ET DES SPORTS </v>
          </cell>
          <cell r="E731" t="str">
            <v>NK5.741.8.262.128.10.20</v>
          </cell>
        </row>
        <row r="732">
          <cell r="A732" t="str">
            <v>NK574181121</v>
          </cell>
          <cell r="B732" t="str">
            <v>PCCE</v>
          </cell>
          <cell r="C732" t="str">
            <v xml:space="preserve">DJS </v>
          </cell>
          <cell r="D732" t="str">
            <v xml:space="preserve">MINISTERE DE LA JEUNESSE ET DES SPORTS </v>
          </cell>
          <cell r="E732" t="str">
            <v>NK5.741.8.262.128.11.21</v>
          </cell>
        </row>
        <row r="733">
          <cell r="A733" t="str">
            <v>NK574181122</v>
          </cell>
          <cell r="B733" t="str">
            <v>PCCE</v>
          </cell>
          <cell r="C733" t="str">
            <v xml:space="preserve">DJS </v>
          </cell>
          <cell r="D733" t="str">
            <v xml:space="preserve">MINISTERE DE LA JEUNESSE ET DES SPORTS </v>
          </cell>
          <cell r="E733" t="str">
            <v>NK5.741.8.262.128.11.22</v>
          </cell>
        </row>
        <row r="734">
          <cell r="A734" t="str">
            <v>NK574181123</v>
          </cell>
          <cell r="B734" t="str">
            <v>PCCE</v>
          </cell>
          <cell r="C734" t="str">
            <v xml:space="preserve">DJS </v>
          </cell>
          <cell r="D734" t="str">
            <v xml:space="preserve">MINISTERE DE LA JEUNESSE ET DES SPORTS </v>
          </cell>
          <cell r="E734" t="str">
            <v>NK5.741.8.262.128.11.23</v>
          </cell>
        </row>
        <row r="735">
          <cell r="A735" t="str">
            <v>NK574181131</v>
          </cell>
          <cell r="B735" t="str">
            <v>PCCE</v>
          </cell>
          <cell r="C735" t="str">
            <v xml:space="preserve">DJS </v>
          </cell>
          <cell r="D735" t="str">
            <v xml:space="preserve">MINISTERE DE LA JEUNESSE ET DES SPORTS </v>
          </cell>
          <cell r="E735" t="str">
            <v>NK5.741.8.262.128.11.31</v>
          </cell>
        </row>
        <row r="736">
          <cell r="A736" t="str">
            <v>NK574181224</v>
          </cell>
          <cell r="B736" t="str">
            <v>PCCE</v>
          </cell>
          <cell r="C736" t="str">
            <v xml:space="preserve">DJS </v>
          </cell>
          <cell r="D736" t="str">
            <v xml:space="preserve">MINISTERE DE LA JEUNESSE ET DES SPORTS </v>
          </cell>
          <cell r="E736" t="str">
            <v>NK5.741.8.262.128.12.24</v>
          </cell>
        </row>
        <row r="737">
          <cell r="A737" t="str">
            <v>NK574181225</v>
          </cell>
          <cell r="B737" t="str">
            <v>PCCE</v>
          </cell>
          <cell r="C737" t="str">
            <v xml:space="preserve">DJS </v>
          </cell>
          <cell r="D737" t="str">
            <v xml:space="preserve">MINISTERE DE LA JEUNESSE ET DES SPORTS </v>
          </cell>
          <cell r="E737" t="str">
            <v>NK5.741.8.262.128.12.25</v>
          </cell>
        </row>
        <row r="738">
          <cell r="A738" t="str">
            <v>NK574181230</v>
          </cell>
          <cell r="B738" t="str">
            <v>PCCE</v>
          </cell>
          <cell r="C738" t="str">
            <v xml:space="preserve">DJS </v>
          </cell>
          <cell r="D738" t="str">
            <v xml:space="preserve">MINISTERE DE LA JEUNESSE ET DES SPORTS </v>
          </cell>
          <cell r="E738" t="str">
            <v>NK5.741.8.262.128.12.30</v>
          </cell>
        </row>
        <row r="739">
          <cell r="A739" t="str">
            <v>NK574181326</v>
          </cell>
          <cell r="B739" t="str">
            <v>PCCE</v>
          </cell>
          <cell r="C739" t="str">
            <v xml:space="preserve">DJS </v>
          </cell>
          <cell r="D739" t="str">
            <v xml:space="preserve">MINISTERE DE LA JEUNESSE ET DES SPORTS </v>
          </cell>
          <cell r="E739" t="str">
            <v>NK5.741.8.262.128.13.26</v>
          </cell>
        </row>
        <row r="740">
          <cell r="A740" t="str">
            <v>NK574181327</v>
          </cell>
          <cell r="B740" t="str">
            <v>PCCE</v>
          </cell>
          <cell r="C740" t="str">
            <v xml:space="preserve">DJS </v>
          </cell>
          <cell r="D740" t="str">
            <v xml:space="preserve">MINISTERE DE LA JEUNESSE ET DES SPORTS </v>
          </cell>
          <cell r="E740" t="str">
            <v>NK5.741.8.262.128.13.27</v>
          </cell>
        </row>
        <row r="741">
          <cell r="A741" t="str">
            <v>NK574181328</v>
          </cell>
          <cell r="B741" t="str">
            <v>PCCE</v>
          </cell>
          <cell r="C741" t="str">
            <v xml:space="preserve">DJS </v>
          </cell>
          <cell r="D741" t="str">
            <v xml:space="preserve">MINISTERE DE LA JEUNESSE ET DES SPORTS </v>
          </cell>
          <cell r="E741" t="str">
            <v>NK5.741.8.262.128.13.28</v>
          </cell>
        </row>
        <row r="742">
          <cell r="A742" t="str">
            <v>NK574181329</v>
          </cell>
          <cell r="B742" t="str">
            <v>PCCE</v>
          </cell>
          <cell r="C742" t="str">
            <v xml:space="preserve">DJS </v>
          </cell>
          <cell r="D742" t="str">
            <v xml:space="preserve">MINISTERE DE LA JEUNESSE ET DES SPORTS </v>
          </cell>
          <cell r="E742" t="str">
            <v>NK5.741.8.262.128.13.29</v>
          </cell>
        </row>
        <row r="743">
          <cell r="A743" t="str">
            <v>NK5742--11--</v>
          </cell>
          <cell r="B743" t="str">
            <v>PCCE</v>
          </cell>
          <cell r="C743" t="str">
            <v xml:space="preserve">DJS </v>
          </cell>
          <cell r="D743" t="str">
            <v xml:space="preserve">MINISTERE DE LA JEUNESSE ET DES SPORTS </v>
          </cell>
          <cell r="E743" t="str">
            <v>NK5.742.--.262.128.11.--</v>
          </cell>
        </row>
        <row r="744">
          <cell r="A744" t="str">
            <v>NK5742--12--</v>
          </cell>
          <cell r="B744" t="str">
            <v>PCCE</v>
          </cell>
          <cell r="C744" t="str">
            <v xml:space="preserve">DJS </v>
          </cell>
          <cell r="D744" t="str">
            <v xml:space="preserve">MINISTERE DE LA JEUNESSE ET DES SPORTS </v>
          </cell>
          <cell r="E744" t="str">
            <v>NK5.742.--.262.128.12.--</v>
          </cell>
        </row>
        <row r="745">
          <cell r="A745" t="str">
            <v>NK5742--12--</v>
          </cell>
          <cell r="B745" t="str">
            <v>PCCE</v>
          </cell>
          <cell r="C745" t="str">
            <v xml:space="preserve">DJS </v>
          </cell>
          <cell r="D745" t="str">
            <v xml:space="preserve">MINISTERE DE LA JEUNESSE ET DES SPORTS </v>
          </cell>
          <cell r="E745" t="str">
            <v>NK5.742.--.262.128.12.--</v>
          </cell>
        </row>
        <row r="746">
          <cell r="A746" t="str">
            <v>NK5742--12--</v>
          </cell>
          <cell r="B746" t="str">
            <v>PCCE</v>
          </cell>
          <cell r="C746" t="str">
            <v xml:space="preserve">DJS </v>
          </cell>
          <cell r="D746" t="str">
            <v xml:space="preserve">MINISTERE DE LA JEUNESSE ET DES SPORTS </v>
          </cell>
          <cell r="E746" t="str">
            <v>NK5.742.--.262.128.12.--</v>
          </cell>
        </row>
        <row r="747">
          <cell r="A747" t="str">
            <v>NK5742--13--</v>
          </cell>
          <cell r="B747" t="str">
            <v>PCCE</v>
          </cell>
          <cell r="C747" t="str">
            <v xml:space="preserve">DJS </v>
          </cell>
          <cell r="D747" t="str">
            <v xml:space="preserve">MINISTERE DE LA JEUNESSE ET DES SPORTS </v>
          </cell>
          <cell r="E747" t="str">
            <v>NK5.742.--.262.128.13.--</v>
          </cell>
        </row>
        <row r="748">
          <cell r="A748" t="str">
            <v>NK5742--13--</v>
          </cell>
          <cell r="B748" t="str">
            <v>PCCE</v>
          </cell>
          <cell r="C748" t="str">
            <v xml:space="preserve">DJS </v>
          </cell>
          <cell r="D748" t="str">
            <v xml:space="preserve">MINISTERE DE LA JEUNESSE ET DES SPORTS </v>
          </cell>
          <cell r="E748" t="str">
            <v>NK5.742.--.262.128.13.--</v>
          </cell>
        </row>
        <row r="749">
          <cell r="A749" t="str">
            <v>NK5742--13--</v>
          </cell>
          <cell r="B749" t="str">
            <v>PCCE</v>
          </cell>
          <cell r="C749" t="str">
            <v xml:space="preserve">DJS </v>
          </cell>
          <cell r="D749" t="str">
            <v xml:space="preserve">MINISTERE DE LA JEUNESSE ET DES SPORTS </v>
          </cell>
          <cell r="E749" t="str">
            <v>NK5.742.--.262.128.13.--</v>
          </cell>
        </row>
        <row r="750">
          <cell r="A750" t="str">
            <v>NK5742--13--</v>
          </cell>
          <cell r="B750" t="str">
            <v>PCCE</v>
          </cell>
          <cell r="C750" t="str">
            <v xml:space="preserve">DJS </v>
          </cell>
          <cell r="D750" t="str">
            <v xml:space="preserve">MINISTERE DE LA JEUNESSE ET DES SPORTS </v>
          </cell>
          <cell r="E750" t="str">
            <v>NK5.742.--.262.128.13.--</v>
          </cell>
        </row>
        <row r="751">
          <cell r="A751" t="str">
            <v>NK5742--13--</v>
          </cell>
          <cell r="B751" t="str">
            <v>PCCE</v>
          </cell>
          <cell r="C751" t="str">
            <v xml:space="preserve">DJS </v>
          </cell>
          <cell r="D751" t="str">
            <v xml:space="preserve">MINISTERE DE LA JEUNESSE ET DES SPORTS </v>
          </cell>
          <cell r="E751" t="str">
            <v>NK5.742.--.262.128.13.--</v>
          </cell>
        </row>
        <row r="752">
          <cell r="A752" t="str">
            <v>NK5742--14--</v>
          </cell>
          <cell r="B752" t="str">
            <v>PCCE</v>
          </cell>
          <cell r="C752" t="str">
            <v xml:space="preserve">DJS </v>
          </cell>
          <cell r="D752" t="str">
            <v xml:space="preserve">MINISTERE DE LA JEUNESSE ET DES SPORTS </v>
          </cell>
          <cell r="E752" t="str">
            <v>NK5.742.--.262.128.14.--</v>
          </cell>
        </row>
        <row r="753">
          <cell r="A753" t="str">
            <v>NK5742--14--</v>
          </cell>
          <cell r="B753" t="str">
            <v>PCCE</v>
          </cell>
          <cell r="C753" t="str">
            <v xml:space="preserve">DJS </v>
          </cell>
          <cell r="D753" t="str">
            <v xml:space="preserve">MINISTERE DE LA JEUNESSE ET DES SPORTS </v>
          </cell>
          <cell r="E753" t="str">
            <v>NK5.742.--.262.128.14.--</v>
          </cell>
        </row>
        <row r="754">
          <cell r="A754" t="str">
            <v>NK5742--14--</v>
          </cell>
          <cell r="B754" t="str">
            <v>PCCE</v>
          </cell>
          <cell r="C754" t="str">
            <v xml:space="preserve">DJS </v>
          </cell>
          <cell r="D754" t="str">
            <v xml:space="preserve">MINISTERE DE LA JEUNESSE ET DES SPORTS </v>
          </cell>
          <cell r="E754" t="str">
            <v>NK5.742.--.262.128.14.--</v>
          </cell>
        </row>
        <row r="755">
          <cell r="A755" t="str">
            <v>NK5742--14--</v>
          </cell>
          <cell r="B755" t="str">
            <v>PCCE</v>
          </cell>
          <cell r="C755" t="str">
            <v xml:space="preserve">DJS </v>
          </cell>
          <cell r="D755" t="str">
            <v xml:space="preserve">MINISTERE DE LA JEUNESSE ET DES SPORTS </v>
          </cell>
          <cell r="E755" t="str">
            <v>NK5.742.--.262.128.14.--</v>
          </cell>
        </row>
        <row r="756">
          <cell r="A756" t="str">
            <v>NK5742--14--</v>
          </cell>
          <cell r="B756" t="str">
            <v>PCCE</v>
          </cell>
          <cell r="C756" t="str">
            <v xml:space="preserve">DJS </v>
          </cell>
          <cell r="D756" t="str">
            <v xml:space="preserve">MINISTERE DE LA JEUNESSE ET DES SPORTS </v>
          </cell>
          <cell r="E756" t="str">
            <v>NK5.742.--.262.128.14.--</v>
          </cell>
        </row>
        <row r="757">
          <cell r="A757" t="str">
            <v>NK5742--14--</v>
          </cell>
          <cell r="B757" t="str">
            <v>PCCE</v>
          </cell>
          <cell r="C757" t="str">
            <v xml:space="preserve">DJS </v>
          </cell>
          <cell r="D757" t="str">
            <v xml:space="preserve">MINISTERE DE LA JEUNESSE ET DES SPORTS </v>
          </cell>
          <cell r="E757" t="str">
            <v>NK5.742.--.262.128.14.--</v>
          </cell>
        </row>
        <row r="758">
          <cell r="A758" t="str">
            <v>NK5742--14--</v>
          </cell>
          <cell r="B758" t="str">
            <v>PCCE</v>
          </cell>
          <cell r="C758" t="str">
            <v xml:space="preserve">DJS </v>
          </cell>
          <cell r="D758" t="str">
            <v xml:space="preserve">MINISTERE DE LA JEUNESSE ET DES SPORTS </v>
          </cell>
          <cell r="E758" t="str">
            <v>NK5.742.--.262.128.14.--</v>
          </cell>
        </row>
        <row r="759">
          <cell r="A759" t="str">
            <v>NK5742--14--</v>
          </cell>
          <cell r="B759" t="str">
            <v>PCCE</v>
          </cell>
          <cell r="C759" t="str">
            <v xml:space="preserve">DJS </v>
          </cell>
          <cell r="D759" t="str">
            <v xml:space="preserve">MINISTERE DE LA JEUNESSE ET DES SPORTS </v>
          </cell>
          <cell r="E759" t="str">
            <v>NK5.742.--.262.128.14.--</v>
          </cell>
        </row>
        <row r="760">
          <cell r="A760" t="str">
            <v>NK5742--14--</v>
          </cell>
          <cell r="B760" t="str">
            <v>PCCE</v>
          </cell>
          <cell r="C760" t="str">
            <v xml:space="preserve">DJS </v>
          </cell>
          <cell r="D760" t="str">
            <v xml:space="preserve">MINISTERE DE LA JEUNESSE ET DES SPORTS </v>
          </cell>
          <cell r="E760" t="str">
            <v>NK5.742.--.262.128.14.--</v>
          </cell>
        </row>
        <row r="761">
          <cell r="A761" t="str">
            <v>NK5742--14--</v>
          </cell>
          <cell r="B761" t="str">
            <v>PCCE</v>
          </cell>
          <cell r="C761" t="str">
            <v xml:space="preserve">DJS </v>
          </cell>
          <cell r="D761" t="str">
            <v xml:space="preserve">MINISTERE DE LA JEUNESSE ET DES SPORTS </v>
          </cell>
          <cell r="E761" t="str">
            <v>NK5.742.--.262.128.14.--</v>
          </cell>
        </row>
        <row r="762">
          <cell r="A762" t="str">
            <v>NK574211101</v>
          </cell>
          <cell r="B762" t="str">
            <v>PCCE</v>
          </cell>
          <cell r="C762" t="str">
            <v xml:space="preserve">DJS </v>
          </cell>
          <cell r="D762" t="str">
            <v xml:space="preserve">MINISTERE DE LA JEUNESSE ET DES SPORTS </v>
          </cell>
          <cell r="E762" t="str">
            <v>NK5.742.1.262.128.11.01</v>
          </cell>
        </row>
        <row r="763">
          <cell r="A763" t="str">
            <v>NK574211102</v>
          </cell>
          <cell r="B763" t="str">
            <v>PCCE</v>
          </cell>
          <cell r="C763" t="str">
            <v xml:space="preserve">DJS </v>
          </cell>
          <cell r="D763" t="str">
            <v xml:space="preserve">MINISTERE DE LA JEUNESSE ET DES SPORTS </v>
          </cell>
          <cell r="E763" t="str">
            <v>NK5.742.1.262.128.11.02</v>
          </cell>
        </row>
        <row r="764">
          <cell r="A764" t="str">
            <v>NK574211103</v>
          </cell>
          <cell r="B764" t="str">
            <v>PCCE</v>
          </cell>
          <cell r="C764" t="str">
            <v xml:space="preserve">DJS </v>
          </cell>
          <cell r="D764" t="str">
            <v xml:space="preserve">MINISTERE DE LA JEUNESSE ET DES SPORTS </v>
          </cell>
          <cell r="E764" t="str">
            <v>NK5.742.1.262.128.11.03</v>
          </cell>
        </row>
        <row r="765">
          <cell r="A765" t="str">
            <v>NK574211104</v>
          </cell>
          <cell r="B765" t="str">
            <v>PCCE</v>
          </cell>
          <cell r="C765" t="str">
            <v xml:space="preserve">DJS </v>
          </cell>
          <cell r="D765" t="str">
            <v xml:space="preserve">MINISTERE DE LA JEUNESSE ET DES SPORTS </v>
          </cell>
          <cell r="E765" t="str">
            <v>NK5.742.1.262.128.11.04</v>
          </cell>
        </row>
        <row r="766">
          <cell r="A766" t="str">
            <v>NK574211105</v>
          </cell>
          <cell r="B766" t="str">
            <v>PCCE</v>
          </cell>
          <cell r="C766" t="str">
            <v xml:space="preserve">DJS </v>
          </cell>
          <cell r="D766" t="str">
            <v xml:space="preserve">MINISTERE DE LA JEUNESSE ET DES SPORTS </v>
          </cell>
          <cell r="E766" t="str">
            <v>NK5.742.1.262.128.11.05</v>
          </cell>
        </row>
        <row r="767">
          <cell r="A767" t="str">
            <v>NK574211106</v>
          </cell>
          <cell r="B767" t="str">
            <v>PCCE</v>
          </cell>
          <cell r="C767" t="str">
            <v xml:space="preserve">DJS </v>
          </cell>
          <cell r="D767" t="str">
            <v xml:space="preserve">MINISTERE DE LA JEUNESSE ET DES SPORTS </v>
          </cell>
          <cell r="E767" t="str">
            <v>NK5.742.1.262.128.11.06</v>
          </cell>
        </row>
        <row r="768">
          <cell r="A768" t="str">
            <v>NK574211108</v>
          </cell>
          <cell r="B768" t="str">
            <v>PCCE</v>
          </cell>
          <cell r="C768" t="str">
            <v xml:space="preserve">DJS </v>
          </cell>
          <cell r="D768" t="str">
            <v xml:space="preserve">MINISTERE DE LA JEUNESSE ET DES SPORTS </v>
          </cell>
          <cell r="E768" t="str">
            <v>NK5.742.1.262.128.11.08</v>
          </cell>
        </row>
        <row r="769">
          <cell r="A769" t="str">
            <v>NK574211207</v>
          </cell>
          <cell r="B769" t="str">
            <v>PCCE</v>
          </cell>
          <cell r="C769" t="str">
            <v xml:space="preserve">DJS </v>
          </cell>
          <cell r="D769" t="str">
            <v xml:space="preserve">MINISTERE DE LA JEUNESSE ET DES SPORTS </v>
          </cell>
          <cell r="E769" t="str">
            <v>NK5.742.1.262.128.12.07</v>
          </cell>
        </row>
        <row r="770">
          <cell r="A770" t="str">
            <v>NK574211212</v>
          </cell>
          <cell r="B770" t="str">
            <v>PCCE</v>
          </cell>
          <cell r="C770" t="str">
            <v xml:space="preserve">DJS </v>
          </cell>
          <cell r="D770" t="str">
            <v xml:space="preserve">MINISTERE DE LA JEUNESSE ET DES SPORTS </v>
          </cell>
          <cell r="E770" t="str">
            <v>NK5.742.1.262.128.12.12</v>
          </cell>
        </row>
        <row r="771">
          <cell r="A771" t="str">
            <v>NK574211309</v>
          </cell>
          <cell r="B771" t="str">
            <v>PCCE</v>
          </cell>
          <cell r="C771" t="str">
            <v xml:space="preserve">DJS </v>
          </cell>
          <cell r="D771" t="str">
            <v xml:space="preserve">MINISTERE DE LA JEUNESSE ET DES SPORTS </v>
          </cell>
          <cell r="E771" t="str">
            <v>NK5.742.1.262.128.13.09</v>
          </cell>
        </row>
        <row r="772">
          <cell r="A772" t="str">
            <v>NK574211310</v>
          </cell>
          <cell r="B772" t="str">
            <v>PCCE</v>
          </cell>
          <cell r="C772" t="str">
            <v xml:space="preserve">DJS </v>
          </cell>
          <cell r="D772" t="str">
            <v xml:space="preserve">MINISTERE DE LA JEUNESSE ET DES SPORTS </v>
          </cell>
          <cell r="E772" t="str">
            <v>NK5.742.1.262.128.13.10</v>
          </cell>
        </row>
        <row r="773">
          <cell r="A773" t="str">
            <v>NK574211311</v>
          </cell>
          <cell r="B773" t="str">
            <v>PCCE</v>
          </cell>
          <cell r="C773" t="str">
            <v xml:space="preserve">DJS </v>
          </cell>
          <cell r="D773" t="str">
            <v xml:space="preserve">MINISTERE DE LA JEUNESSE ET DES SPORTS </v>
          </cell>
          <cell r="E773" t="str">
            <v>NK5.742.1.262.128.13.11</v>
          </cell>
        </row>
        <row r="774">
          <cell r="A774" t="str">
            <v>NK574211313</v>
          </cell>
          <cell r="B774" t="str">
            <v>PCCE</v>
          </cell>
          <cell r="C774" t="str">
            <v xml:space="preserve">DJS </v>
          </cell>
          <cell r="D774" t="str">
            <v xml:space="preserve">MINISTERE DE LA JEUNESSE ET DES SPORTS </v>
          </cell>
          <cell r="E774" t="str">
            <v>NK5.742.1.262.128.13.13</v>
          </cell>
        </row>
        <row r="775">
          <cell r="A775" t="str">
            <v>NK574211314</v>
          </cell>
          <cell r="B775" t="str">
            <v>PCCE</v>
          </cell>
          <cell r="C775" t="str">
            <v xml:space="preserve">DJS </v>
          </cell>
          <cell r="D775" t="str">
            <v xml:space="preserve">MINISTERE DE LA JEUNESSE ET DES SPORTS </v>
          </cell>
          <cell r="E775" t="str">
            <v>NK5.742.1.262.128.13.14</v>
          </cell>
        </row>
        <row r="776">
          <cell r="A776" t="str">
            <v>NK574221215</v>
          </cell>
          <cell r="B776" t="str">
            <v>PCCE</v>
          </cell>
          <cell r="C776" t="str">
            <v xml:space="preserve">DJS </v>
          </cell>
          <cell r="D776" t="str">
            <v xml:space="preserve">MINISTERE DE LA JEUNESSE ET DES SPORTS </v>
          </cell>
          <cell r="E776" t="str">
            <v>NK5.742.2.262.128.12.15</v>
          </cell>
        </row>
        <row r="777">
          <cell r="A777" t="str">
            <v>NK574281030</v>
          </cell>
          <cell r="B777" t="str">
            <v>PCCE</v>
          </cell>
          <cell r="C777" t="str">
            <v xml:space="preserve">DJS </v>
          </cell>
          <cell r="D777" t="str">
            <v xml:space="preserve">MINISTERE DE LA JEUNESSE ET DES SPORTS </v>
          </cell>
          <cell r="E777" t="str">
            <v>NK5.742.8.262.128.10.30</v>
          </cell>
        </row>
        <row r="778">
          <cell r="A778" t="str">
            <v>NK574281031</v>
          </cell>
          <cell r="B778" t="str">
            <v>PCCE</v>
          </cell>
          <cell r="C778" t="str">
            <v xml:space="preserve">DJS </v>
          </cell>
          <cell r="D778" t="str">
            <v xml:space="preserve">MINISTERE DE LA JEUNESSE ET DES SPORTS </v>
          </cell>
          <cell r="E778" t="str">
            <v>NK5.742.8.262.128.10.31</v>
          </cell>
        </row>
        <row r="779">
          <cell r="A779" t="str">
            <v>NK574281032</v>
          </cell>
          <cell r="B779" t="str">
            <v>PCCE</v>
          </cell>
          <cell r="C779" t="str">
            <v xml:space="preserve">DJS </v>
          </cell>
          <cell r="D779" t="str">
            <v xml:space="preserve">MINISTERE DE LA JEUNESSE ET DES SPORTS </v>
          </cell>
          <cell r="E779" t="str">
            <v>NK5.742.8.262.128.10.32</v>
          </cell>
        </row>
        <row r="780">
          <cell r="A780" t="str">
            <v>NK574281033</v>
          </cell>
          <cell r="B780" t="str">
            <v>PCCE</v>
          </cell>
          <cell r="C780" t="str">
            <v xml:space="preserve">DJS </v>
          </cell>
          <cell r="D780" t="str">
            <v xml:space="preserve">MINISTERE DE LA JEUNESSE ET DES SPORTS </v>
          </cell>
          <cell r="E780" t="str">
            <v>NK5.742.8.262.128.10.33</v>
          </cell>
        </row>
        <row r="781">
          <cell r="A781" t="str">
            <v>NK574281034</v>
          </cell>
          <cell r="B781" t="str">
            <v>PCCE</v>
          </cell>
          <cell r="C781" t="str">
            <v xml:space="preserve">DJS </v>
          </cell>
          <cell r="D781" t="str">
            <v xml:space="preserve">MINISTERE DE LA JEUNESSE ET DES SPORTS </v>
          </cell>
          <cell r="E781" t="str">
            <v>NK5.742.8.262.128.10.34</v>
          </cell>
        </row>
        <row r="782">
          <cell r="A782" t="str">
            <v>NK574281035</v>
          </cell>
          <cell r="B782" t="str">
            <v>PCCE</v>
          </cell>
          <cell r="C782" t="str">
            <v xml:space="preserve">DJS </v>
          </cell>
          <cell r="D782" t="str">
            <v xml:space="preserve">MINISTERE DE LA JEUNESSE ET DES SPORTS </v>
          </cell>
          <cell r="E782" t="str">
            <v>NK5.742.8.262.128.10.35</v>
          </cell>
        </row>
        <row r="783">
          <cell r="A783" t="str">
            <v>NK574281036</v>
          </cell>
          <cell r="B783" t="str">
            <v>PCCE</v>
          </cell>
          <cell r="C783" t="str">
            <v xml:space="preserve">DJS </v>
          </cell>
          <cell r="D783" t="str">
            <v xml:space="preserve">MINISTERE DE LA JEUNESSE ET DES SPORTS </v>
          </cell>
          <cell r="E783" t="str">
            <v>NK5.742.8.262.128.10.36</v>
          </cell>
        </row>
        <row r="784">
          <cell r="A784" t="str">
            <v>NK574281044</v>
          </cell>
          <cell r="B784" t="str">
            <v>PCCE</v>
          </cell>
          <cell r="C784" t="str">
            <v xml:space="preserve">DJS </v>
          </cell>
          <cell r="D784" t="str">
            <v xml:space="preserve">MINISTERE DE LA JEUNESSE ET DES SPORTS </v>
          </cell>
          <cell r="E784" t="str">
            <v>NK5.742.8.262.128.10.44</v>
          </cell>
        </row>
        <row r="785">
          <cell r="A785" t="str">
            <v>NK574281045</v>
          </cell>
          <cell r="B785" t="str">
            <v>PCCE</v>
          </cell>
          <cell r="C785" t="str">
            <v xml:space="preserve">DJS </v>
          </cell>
          <cell r="D785" t="str">
            <v xml:space="preserve">MINISTERE DE LA JEUNESSE ET DES SPORTS </v>
          </cell>
          <cell r="E785" t="str">
            <v>NK5.742.8.262.128.10.45</v>
          </cell>
        </row>
        <row r="786">
          <cell r="A786" t="str">
            <v>NK574281046</v>
          </cell>
          <cell r="B786" t="str">
            <v>PCCE</v>
          </cell>
          <cell r="C786" t="str">
            <v xml:space="preserve">DJS </v>
          </cell>
          <cell r="D786" t="str">
            <v xml:space="preserve">MINISTERE DE LA JEUNESSE ET DES SPORTS </v>
          </cell>
          <cell r="E786" t="str">
            <v>NK5.742.8.262.128.10.46</v>
          </cell>
        </row>
        <row r="787">
          <cell r="A787" t="str">
            <v>NK574281137</v>
          </cell>
          <cell r="B787" t="str">
            <v>PCCE</v>
          </cell>
          <cell r="C787" t="str">
            <v xml:space="preserve">DJS </v>
          </cell>
          <cell r="D787" t="str">
            <v xml:space="preserve">MINISTERE DE LA JEUNESSE ET DES SPORTS </v>
          </cell>
          <cell r="E787" t="str">
            <v>NK5.742.8.262.128.11.37</v>
          </cell>
        </row>
        <row r="788">
          <cell r="A788" t="str">
            <v>NK574281138</v>
          </cell>
          <cell r="B788" t="str">
            <v>PCCE</v>
          </cell>
          <cell r="C788" t="str">
            <v xml:space="preserve">DJS </v>
          </cell>
          <cell r="D788" t="str">
            <v xml:space="preserve">MINISTERE DE LA JEUNESSE ET DES SPORTS </v>
          </cell>
          <cell r="E788" t="str">
            <v>NK5.742.8.262.128.11.38</v>
          </cell>
        </row>
        <row r="789">
          <cell r="A789" t="str">
            <v>NK574281139</v>
          </cell>
          <cell r="B789" t="str">
            <v>PCCE</v>
          </cell>
          <cell r="C789" t="str">
            <v xml:space="preserve">DJS </v>
          </cell>
          <cell r="D789" t="str">
            <v xml:space="preserve">MINISTERE DE LA JEUNESSE ET DES SPORTS </v>
          </cell>
          <cell r="E789" t="str">
            <v>NK5.742.8.262.128.11.39</v>
          </cell>
        </row>
        <row r="790">
          <cell r="A790" t="str">
            <v>NK574281141</v>
          </cell>
          <cell r="B790" t="str">
            <v>PCCE</v>
          </cell>
          <cell r="C790" t="str">
            <v xml:space="preserve">DJS </v>
          </cell>
          <cell r="D790" t="str">
            <v xml:space="preserve">MINISTERE DE LA JEUNESSE ET DES SPORTS </v>
          </cell>
          <cell r="E790" t="str">
            <v>NK5.742.8.262.128.11.41</v>
          </cell>
        </row>
        <row r="791">
          <cell r="A791" t="str">
            <v>NK574281142</v>
          </cell>
          <cell r="B791" t="str">
            <v>PCCE</v>
          </cell>
          <cell r="C791" t="str">
            <v xml:space="preserve">DJS </v>
          </cell>
          <cell r="D791" t="str">
            <v xml:space="preserve">MINISTERE DE LA JEUNESSE ET DES SPORTS </v>
          </cell>
          <cell r="E791" t="str">
            <v>NK5.742.8.262.128.11.42</v>
          </cell>
        </row>
        <row r="792">
          <cell r="A792" t="str">
            <v>NK574281143</v>
          </cell>
          <cell r="B792" t="str">
            <v>PCCE</v>
          </cell>
          <cell r="C792" t="str">
            <v xml:space="preserve">DJS </v>
          </cell>
          <cell r="D792" t="str">
            <v xml:space="preserve">MINISTERE DE LA JEUNESSE ET DES SPORTS </v>
          </cell>
          <cell r="E792" t="str">
            <v>NK5.742.8.262.128.11.43</v>
          </cell>
        </row>
        <row r="793">
          <cell r="A793" t="str">
            <v>NK574281147</v>
          </cell>
          <cell r="B793" t="str">
            <v>PCCE</v>
          </cell>
          <cell r="C793" t="str">
            <v xml:space="preserve">DJS </v>
          </cell>
          <cell r="D793" t="str">
            <v xml:space="preserve">MINISTERE DE LA JEUNESSE ET DES SPORTS </v>
          </cell>
          <cell r="E793" t="str">
            <v>NK5.742.8.262.128.11.47</v>
          </cell>
        </row>
        <row r="794">
          <cell r="A794" t="str">
            <v>NK574281148</v>
          </cell>
          <cell r="B794" t="str">
            <v>PCCE</v>
          </cell>
          <cell r="C794" t="str">
            <v xml:space="preserve">DJS </v>
          </cell>
          <cell r="D794" t="str">
            <v xml:space="preserve">MINISTERE DE LA JEUNESSE ET DES SPORTS </v>
          </cell>
          <cell r="E794" t="str">
            <v>NK5.742.8.262.128.11.48</v>
          </cell>
        </row>
        <row r="795">
          <cell r="A795" t="str">
            <v>NK574281240</v>
          </cell>
          <cell r="B795" t="str">
            <v>PCCE</v>
          </cell>
          <cell r="C795" t="str">
            <v xml:space="preserve">DJS </v>
          </cell>
          <cell r="D795" t="str">
            <v xml:space="preserve">MINISTERE DE LA JEUNESSE ET DES SPORTS </v>
          </cell>
          <cell r="E795" t="str">
            <v>NK5.742.8.262.128.12.40</v>
          </cell>
        </row>
        <row r="796">
          <cell r="A796" t="str">
            <v>NK5752--10--</v>
          </cell>
          <cell r="B796" t="str">
            <v>PCCE</v>
          </cell>
          <cell r="C796" t="str">
            <v>DCW</v>
          </cell>
          <cell r="D796" t="str">
            <v xml:space="preserve">MINISTERE DE LA CULTURE </v>
          </cell>
          <cell r="E796" t="str">
            <v>NK5.752.--.262.128.10.--</v>
          </cell>
        </row>
        <row r="797">
          <cell r="A797" t="str">
            <v>NK5752--11--</v>
          </cell>
          <cell r="B797" t="str">
            <v>PCCE</v>
          </cell>
          <cell r="C797" t="str">
            <v>DLEP</v>
          </cell>
          <cell r="D797" t="str">
            <v xml:space="preserve">MINISTERE DE LA CULTURE </v>
          </cell>
          <cell r="E797" t="str">
            <v>NK5.752.--.262.128.11.--</v>
          </cell>
        </row>
        <row r="798">
          <cell r="A798" t="str">
            <v>NK5752--12--</v>
          </cell>
          <cell r="B798" t="str">
            <v>PCCE</v>
          </cell>
          <cell r="C798" t="str">
            <v>DCW</v>
          </cell>
          <cell r="D798" t="str">
            <v xml:space="preserve">MINISTERE DE LA CULTURE </v>
          </cell>
          <cell r="E798" t="str">
            <v>NK5.752.--.262.128.12.--</v>
          </cell>
        </row>
        <row r="799">
          <cell r="A799" t="str">
            <v>NK5752--14--</v>
          </cell>
          <cell r="B799" t="str">
            <v>PCCE</v>
          </cell>
          <cell r="C799" t="str">
            <v>DCW</v>
          </cell>
          <cell r="D799" t="str">
            <v xml:space="preserve">MINISTERE DE LA CULTURE </v>
          </cell>
          <cell r="E799" t="str">
            <v>NK5.752.--.262.128.14.--</v>
          </cell>
        </row>
        <row r="800">
          <cell r="A800" t="str">
            <v>NK575211008</v>
          </cell>
          <cell r="B800" t="str">
            <v>PCCE</v>
          </cell>
          <cell r="C800" t="str">
            <v>DCW</v>
          </cell>
          <cell r="D800" t="str">
            <v xml:space="preserve">MINISTERE DE LA CULTURE </v>
          </cell>
          <cell r="E800" t="str">
            <v>NK5.752.1.262.128.10.08</v>
          </cell>
        </row>
        <row r="801">
          <cell r="A801" t="str">
            <v>NK575231019</v>
          </cell>
          <cell r="B801" t="str">
            <v>PCCE</v>
          </cell>
          <cell r="C801" t="str">
            <v>DCW</v>
          </cell>
          <cell r="D801" t="str">
            <v xml:space="preserve">MINISTERE DE LA CULTURE </v>
          </cell>
          <cell r="E801" t="str">
            <v>NK5.752.3.262.128.10.19</v>
          </cell>
        </row>
        <row r="802">
          <cell r="A802" t="str">
            <v>NK575231020</v>
          </cell>
          <cell r="B802" t="str">
            <v>PCCE</v>
          </cell>
          <cell r="C802" t="str">
            <v>DCW</v>
          </cell>
          <cell r="D802" t="str">
            <v xml:space="preserve">MINISTERE DE LA CULTURE </v>
          </cell>
          <cell r="E802" t="str">
            <v>NK5.752.3.262.128.10.20</v>
          </cell>
        </row>
        <row r="803">
          <cell r="A803" t="str">
            <v>NK575231221</v>
          </cell>
          <cell r="B803" t="str">
            <v>PCCE</v>
          </cell>
          <cell r="C803" t="str">
            <v>DCW</v>
          </cell>
          <cell r="D803" t="str">
            <v xml:space="preserve">MINISTERE DE LA CULTURE </v>
          </cell>
          <cell r="E803" t="str">
            <v>NK5.752.3.262.128.12.21</v>
          </cell>
        </row>
        <row r="804">
          <cell r="A804" t="str">
            <v>NK575231222</v>
          </cell>
          <cell r="B804" t="str">
            <v>PCCE</v>
          </cell>
          <cell r="C804" t="str">
            <v>DCW</v>
          </cell>
          <cell r="D804" t="str">
            <v xml:space="preserve">MINISTERE DE LA CULTURE </v>
          </cell>
          <cell r="E804" t="str">
            <v>NK5.752.3.262.128.12.22</v>
          </cell>
        </row>
        <row r="805">
          <cell r="A805" t="str">
            <v>NK575231223</v>
          </cell>
          <cell r="B805" t="str">
            <v>PCCE</v>
          </cell>
          <cell r="C805" t="str">
            <v>DCW</v>
          </cell>
          <cell r="D805" t="str">
            <v xml:space="preserve">MINISTERE DE LA CULTURE </v>
          </cell>
          <cell r="E805" t="str">
            <v>NK5.752.3.262.128.12.23</v>
          </cell>
        </row>
        <row r="806">
          <cell r="A806" t="str">
            <v>NK575231224</v>
          </cell>
          <cell r="B806" t="str">
            <v>PCCE</v>
          </cell>
          <cell r="C806" t="str">
            <v>DCW</v>
          </cell>
          <cell r="D806" t="str">
            <v xml:space="preserve">MINISTERE DE LA CULTURE </v>
          </cell>
          <cell r="E806" t="str">
            <v>NK5.752.3.262.128.12.24</v>
          </cell>
        </row>
        <row r="807">
          <cell r="A807" t="str">
            <v>NK575231225</v>
          </cell>
          <cell r="B807" t="str">
            <v>PCCE</v>
          </cell>
          <cell r="C807" t="str">
            <v>DCW</v>
          </cell>
          <cell r="D807" t="str">
            <v xml:space="preserve">MINISTERE DE LA CULTURE </v>
          </cell>
          <cell r="E807" t="str">
            <v>NK5.752.3.262.128.12.25</v>
          </cell>
        </row>
        <row r="808">
          <cell r="A808" t="str">
            <v>NK575231226</v>
          </cell>
          <cell r="B808" t="str">
            <v>PCCE</v>
          </cell>
          <cell r="C808" t="str">
            <v>DCW</v>
          </cell>
          <cell r="D808" t="str">
            <v xml:space="preserve">MINISTERE DE LA CULTURE </v>
          </cell>
          <cell r="E808" t="str">
            <v>NK5.752.3.262.128.12.26</v>
          </cell>
        </row>
        <row r="809">
          <cell r="A809" t="str">
            <v>NK575231227</v>
          </cell>
          <cell r="B809" t="str">
            <v>PCCE</v>
          </cell>
          <cell r="C809" t="str">
            <v>DCW</v>
          </cell>
          <cell r="D809" t="str">
            <v xml:space="preserve">MINISTERE DE LA CULTURE </v>
          </cell>
          <cell r="E809" t="str">
            <v>NK5.752.3.262.128.12.27</v>
          </cell>
        </row>
        <row r="810">
          <cell r="A810" t="str">
            <v>NK575231228</v>
          </cell>
          <cell r="B810" t="str">
            <v>PCCE</v>
          </cell>
          <cell r="C810" t="str">
            <v>DCW</v>
          </cell>
          <cell r="D810" t="str">
            <v xml:space="preserve">MINISTERE DE LA CULTURE </v>
          </cell>
          <cell r="E810" t="str">
            <v>NK5.752.3.262.128.12.28</v>
          </cell>
        </row>
        <row r="811">
          <cell r="A811" t="str">
            <v>NK575231229</v>
          </cell>
          <cell r="B811" t="str">
            <v>PCCE</v>
          </cell>
          <cell r="C811" t="str">
            <v>DCW</v>
          </cell>
          <cell r="D811" t="str">
            <v xml:space="preserve">MINISTERE DE LA CULTURE </v>
          </cell>
          <cell r="E811" t="str">
            <v>NK5.752.3.262.128.12.29</v>
          </cell>
        </row>
        <row r="812">
          <cell r="A812" t="str">
            <v>NK575231230</v>
          </cell>
          <cell r="B812" t="str">
            <v>PCCE</v>
          </cell>
          <cell r="C812" t="str">
            <v>DCW</v>
          </cell>
          <cell r="D812" t="str">
            <v xml:space="preserve">MINISTERE DE LA CULTURE </v>
          </cell>
          <cell r="E812" t="str">
            <v>NK5.752.3.262.128.12.30</v>
          </cell>
        </row>
        <row r="813">
          <cell r="A813" t="str">
            <v>NK575231231</v>
          </cell>
          <cell r="B813" t="str">
            <v>PCCE</v>
          </cell>
          <cell r="C813" t="str">
            <v>DCW</v>
          </cell>
          <cell r="D813" t="str">
            <v xml:space="preserve">MINISTERE DE LA CULTURE </v>
          </cell>
          <cell r="E813" t="str">
            <v>NK5.752.3.262.128.12.31</v>
          </cell>
        </row>
        <row r="814">
          <cell r="A814" t="str">
            <v>NK575231232</v>
          </cell>
          <cell r="B814" t="str">
            <v>PCCE</v>
          </cell>
          <cell r="C814" t="str">
            <v>DCW</v>
          </cell>
          <cell r="D814" t="str">
            <v xml:space="preserve">MINISTERE DE LA CULTURE </v>
          </cell>
          <cell r="E814" t="str">
            <v>NK5.752.3.262.128.12.32</v>
          </cell>
        </row>
        <row r="815">
          <cell r="A815" t="str">
            <v>NK575231233</v>
          </cell>
          <cell r="B815" t="str">
            <v>PCCE</v>
          </cell>
          <cell r="C815" t="str">
            <v>DCW</v>
          </cell>
          <cell r="D815" t="str">
            <v xml:space="preserve">MINISTERE DE LA CULTURE </v>
          </cell>
          <cell r="E815" t="str">
            <v>NK5.752.3.262.128.12.33</v>
          </cell>
        </row>
        <row r="816">
          <cell r="A816" t="str">
            <v>NK575231234</v>
          </cell>
          <cell r="B816" t="str">
            <v>PCCE</v>
          </cell>
          <cell r="C816" t="str">
            <v>DCW</v>
          </cell>
          <cell r="D816" t="str">
            <v xml:space="preserve">MINISTERE DE LA CULTURE </v>
          </cell>
          <cell r="E816" t="str">
            <v>NK5.752.3.262.128.12.34</v>
          </cell>
        </row>
        <row r="817">
          <cell r="A817" t="str">
            <v>NK575281013</v>
          </cell>
          <cell r="B817" t="str">
            <v>PCCE</v>
          </cell>
          <cell r="C817" t="str">
            <v>DCW</v>
          </cell>
          <cell r="D817" t="str">
            <v xml:space="preserve">MINISTERE DE LA CULTURE </v>
          </cell>
          <cell r="E817" t="str">
            <v>NK5.752.8.262.128.10.13</v>
          </cell>
        </row>
        <row r="818">
          <cell r="A818" t="str">
            <v>NK575281014</v>
          </cell>
          <cell r="B818" t="str">
            <v>PCCE</v>
          </cell>
          <cell r="C818" t="str">
            <v>DCW</v>
          </cell>
          <cell r="D818" t="str">
            <v xml:space="preserve">MINISTERE DE LA CULTURE </v>
          </cell>
          <cell r="E818" t="str">
            <v>NK5.752.8.262.128.10.14</v>
          </cell>
        </row>
        <row r="819">
          <cell r="A819" t="str">
            <v>NK575281015</v>
          </cell>
          <cell r="B819" t="str">
            <v>PCCE</v>
          </cell>
          <cell r="C819" t="str">
            <v>DCW</v>
          </cell>
          <cell r="D819" t="str">
            <v xml:space="preserve">MINISTERE DE LA CULTURE </v>
          </cell>
          <cell r="E819" t="str">
            <v>NK5.752.8.262.128.10.15</v>
          </cell>
        </row>
        <row r="820">
          <cell r="A820" t="str">
            <v>NK575281016</v>
          </cell>
          <cell r="B820" t="str">
            <v>PCCE</v>
          </cell>
          <cell r="C820" t="str">
            <v>DCW</v>
          </cell>
          <cell r="D820" t="str">
            <v xml:space="preserve">MINISTERE DE LA CULTURE </v>
          </cell>
          <cell r="E820" t="str">
            <v>NK5.752.8.262.128.10.16</v>
          </cell>
        </row>
        <row r="821">
          <cell r="A821" t="str">
            <v>NK575281017</v>
          </cell>
          <cell r="B821" t="str">
            <v>PCCE</v>
          </cell>
          <cell r="C821" t="str">
            <v>DCW</v>
          </cell>
          <cell r="D821" t="str">
            <v xml:space="preserve">MINISTERE DE LA CULTURE </v>
          </cell>
          <cell r="E821" t="str">
            <v>NK5.752.8.262.128.10.17</v>
          </cell>
        </row>
        <row r="822">
          <cell r="A822" t="str">
            <v>NK576181002</v>
          </cell>
          <cell r="B822" t="str">
            <v>PCCE</v>
          </cell>
          <cell r="C822" t="str">
            <v>D MOUD</v>
          </cell>
          <cell r="D822" t="str">
            <v>MINISTERE DES MODJAHIDINNE</v>
          </cell>
          <cell r="E822" t="str">
            <v>NK5.761.8.262.128.10.02</v>
          </cell>
        </row>
        <row r="823">
          <cell r="A823" t="str">
            <v>NK576221101</v>
          </cell>
          <cell r="B823" t="str">
            <v>PCCE</v>
          </cell>
          <cell r="C823" t="str">
            <v>DLEP</v>
          </cell>
          <cell r="D823" t="str">
            <v xml:space="preserve">MINISTERE DES AFFAIRES RELIGIEUSES </v>
          </cell>
          <cell r="E823" t="str">
            <v>NK5.762.2.262.128.11.01</v>
          </cell>
        </row>
        <row r="824">
          <cell r="A824" t="str">
            <v>NK576281001</v>
          </cell>
          <cell r="B824" t="str">
            <v>PCCE</v>
          </cell>
          <cell r="C824" t="str">
            <v>DLEP</v>
          </cell>
          <cell r="D824" t="str">
            <v xml:space="preserve">MINISTERE DES AFFAIRES RELIGIEUSES </v>
          </cell>
          <cell r="E824" t="str">
            <v>NK5.762.8.262.128.10.01</v>
          </cell>
        </row>
        <row r="825">
          <cell r="A825" t="str">
            <v>NK576281002</v>
          </cell>
          <cell r="B825" t="str">
            <v>PCCE</v>
          </cell>
          <cell r="C825" t="str">
            <v>DLEP</v>
          </cell>
          <cell r="D825" t="str">
            <v xml:space="preserve">MINISTERE DES AFFAIRES RELIGIEUSES </v>
          </cell>
          <cell r="E825" t="str">
            <v>NK5.762.8.262.128.10.02</v>
          </cell>
        </row>
        <row r="826">
          <cell r="A826" t="str">
            <v>NK576281003</v>
          </cell>
          <cell r="B826" t="str">
            <v>PCCE</v>
          </cell>
          <cell r="C826" t="str">
            <v>DLEP</v>
          </cell>
          <cell r="D826" t="str">
            <v xml:space="preserve">MINISTERE DES AFFAIRES RELIGIEUSES </v>
          </cell>
          <cell r="E826" t="str">
            <v>NK5.762.8.262.128.10.03</v>
          </cell>
        </row>
        <row r="827">
          <cell r="A827" t="str">
            <v>NK576281004</v>
          </cell>
          <cell r="B827" t="str">
            <v>PCCE</v>
          </cell>
          <cell r="C827" t="str">
            <v>DLEP</v>
          </cell>
          <cell r="D827" t="str">
            <v xml:space="preserve">MINISTERE DES AFFAIRES RELIGIEUSES </v>
          </cell>
          <cell r="E827" t="str">
            <v>NK5.762.8.262.128.10.04</v>
          </cell>
        </row>
        <row r="828">
          <cell r="A828" t="str">
            <v>NK576281005</v>
          </cell>
          <cell r="B828" t="str">
            <v>PCCE</v>
          </cell>
          <cell r="C828" t="str">
            <v>DLEP</v>
          </cell>
          <cell r="D828" t="str">
            <v xml:space="preserve">MINISTERE DES AFFAIRES RELIGIEUSES </v>
          </cell>
          <cell r="E828" t="str">
            <v>NK5.762.8.262.128.10.05</v>
          </cell>
        </row>
        <row r="829">
          <cell r="A829" t="str">
            <v>NK576281006</v>
          </cell>
          <cell r="B829" t="str">
            <v>PCCE</v>
          </cell>
          <cell r="C829" t="str">
            <v>DLEP</v>
          </cell>
          <cell r="D829" t="str">
            <v xml:space="preserve">MINISTERE DES AFFAIRES RELIGIEUSES </v>
          </cell>
          <cell r="E829" t="str">
            <v>NK5.762.8.262.128.10.06</v>
          </cell>
        </row>
        <row r="830">
          <cell r="A830" t="str">
            <v>NK576281007</v>
          </cell>
          <cell r="B830" t="str">
            <v>PCCE</v>
          </cell>
          <cell r="C830" t="str">
            <v>DLEP</v>
          </cell>
          <cell r="D830" t="str">
            <v xml:space="preserve">MINISTERE DES AFFAIRES RELIGIEUSES </v>
          </cell>
          <cell r="E830" t="str">
            <v>NK5.762.8.262.128.10.07</v>
          </cell>
        </row>
        <row r="831">
          <cell r="A831" t="str">
            <v>NK576281008</v>
          </cell>
          <cell r="B831" t="str">
            <v>PCCE</v>
          </cell>
          <cell r="C831" t="str">
            <v>DLEP</v>
          </cell>
          <cell r="D831" t="str">
            <v xml:space="preserve">MINISTERE DES AFFAIRES RELIGIEUSES </v>
          </cell>
          <cell r="E831" t="str">
            <v>NK5.762.8.262.128.10.08</v>
          </cell>
        </row>
        <row r="832">
          <cell r="A832" t="str">
            <v>NK576281009</v>
          </cell>
          <cell r="B832" t="str">
            <v>PCCE</v>
          </cell>
          <cell r="C832" t="str">
            <v>DLEP</v>
          </cell>
          <cell r="D832" t="str">
            <v xml:space="preserve">MINISTERE DES AFFAIRES RELIGIEUSES </v>
          </cell>
          <cell r="E832" t="str">
            <v>NK5.762.8.262.128.10.09</v>
          </cell>
        </row>
        <row r="833">
          <cell r="A833" t="str">
            <v>NK576281010</v>
          </cell>
          <cell r="B833" t="str">
            <v>PCCE</v>
          </cell>
          <cell r="C833" t="str">
            <v>DLEP</v>
          </cell>
          <cell r="D833" t="str">
            <v xml:space="preserve">MINISTERE DES AFFAIRES RELIGIEUSES </v>
          </cell>
          <cell r="E833" t="str">
            <v>NK5.762.8.262.128.10.10</v>
          </cell>
        </row>
        <row r="834">
          <cell r="A834" t="str">
            <v>NK576281011</v>
          </cell>
          <cell r="B834" t="str">
            <v>PCCE</v>
          </cell>
          <cell r="C834" t="str">
            <v>DLEP</v>
          </cell>
          <cell r="D834" t="str">
            <v xml:space="preserve">MINISTERE DES AFFAIRES RELIGIEUSES </v>
          </cell>
          <cell r="E834" t="str">
            <v>NK5.762.8.262.128.10.11</v>
          </cell>
        </row>
        <row r="835">
          <cell r="A835" t="str">
            <v>NK576281012</v>
          </cell>
          <cell r="B835" t="str">
            <v>PCCE</v>
          </cell>
          <cell r="C835" t="str">
            <v>DLEP</v>
          </cell>
          <cell r="D835" t="str">
            <v xml:space="preserve">MINISTERE DES AFFAIRES RELIGIEUSES </v>
          </cell>
          <cell r="E835" t="str">
            <v>NK5.762.8.262.128.10.12</v>
          </cell>
        </row>
        <row r="836">
          <cell r="A836" t="str">
            <v>NK576281013</v>
          </cell>
          <cell r="B836" t="str">
            <v>PCCE</v>
          </cell>
          <cell r="C836" t="str">
            <v>DLEP</v>
          </cell>
          <cell r="D836" t="str">
            <v xml:space="preserve">MINISTERE DES AFFAIRES RELIGIEUSES </v>
          </cell>
          <cell r="E836" t="str">
            <v>NK5.762.8.262.128.10.13</v>
          </cell>
        </row>
        <row r="837">
          <cell r="A837" t="str">
            <v>NK576281014</v>
          </cell>
          <cell r="B837" t="str">
            <v>PCCE</v>
          </cell>
          <cell r="C837" t="str">
            <v>DLEP</v>
          </cell>
          <cell r="D837" t="str">
            <v xml:space="preserve">MINISTERE DES AFFAIRES RELIGIEUSES </v>
          </cell>
          <cell r="E837" t="str">
            <v>NK5.762.8.262.128.10.14</v>
          </cell>
        </row>
        <row r="838">
          <cell r="A838" t="str">
            <v>NK576281015</v>
          </cell>
          <cell r="B838" t="str">
            <v>PCCE</v>
          </cell>
          <cell r="C838" t="str">
            <v>DLEP</v>
          </cell>
          <cell r="D838" t="str">
            <v xml:space="preserve">MINISTERE DES AFFAIRES RELIGIEUSES </v>
          </cell>
          <cell r="E838" t="str">
            <v>NK5.762.8.262.128.10.15</v>
          </cell>
        </row>
        <row r="839">
          <cell r="A839" t="str">
            <v>NK576281016</v>
          </cell>
          <cell r="B839" t="str">
            <v>PCCE</v>
          </cell>
          <cell r="C839" t="str">
            <v>DLEP</v>
          </cell>
          <cell r="D839" t="str">
            <v xml:space="preserve">MINISTERE DES AFFAIRES RELIGIEUSES </v>
          </cell>
          <cell r="E839" t="str">
            <v>NK5.762.8.262.128.10.16</v>
          </cell>
        </row>
        <row r="840">
          <cell r="A840" t="str">
            <v>NK576281017</v>
          </cell>
          <cell r="B840" t="str">
            <v>PCCE</v>
          </cell>
          <cell r="C840" t="str">
            <v>DLEP</v>
          </cell>
          <cell r="D840" t="str">
            <v xml:space="preserve">MINISTERE DES AFFAIRES RELIGIEUSES </v>
          </cell>
          <cell r="E840" t="str">
            <v>NK5.762.8.262.128.10.17</v>
          </cell>
        </row>
        <row r="841">
          <cell r="A841" t="str">
            <v>NK576281018</v>
          </cell>
          <cell r="B841" t="str">
            <v>PCCE</v>
          </cell>
          <cell r="C841" t="str">
            <v>DLEP</v>
          </cell>
          <cell r="D841" t="str">
            <v xml:space="preserve">MINISTERE DES AFFAIRES RELIGIEUSES </v>
          </cell>
          <cell r="E841" t="str">
            <v>NK5.762.8.262.128.10.18</v>
          </cell>
        </row>
        <row r="842">
          <cell r="A842" t="str">
            <v>NK576281019</v>
          </cell>
          <cell r="B842" t="str">
            <v>PCCE</v>
          </cell>
          <cell r="C842" t="str">
            <v>DLEP</v>
          </cell>
          <cell r="D842" t="str">
            <v xml:space="preserve">MINISTERE DES AFFAIRES RELIGIEUSES </v>
          </cell>
          <cell r="E842" t="str">
            <v>NK5.762.8.262.128.10.19</v>
          </cell>
        </row>
        <row r="843">
          <cell r="A843" t="str">
            <v>NK576281020</v>
          </cell>
          <cell r="B843" t="str">
            <v>PCCE</v>
          </cell>
          <cell r="C843" t="str">
            <v>DLEP</v>
          </cell>
          <cell r="D843" t="str">
            <v xml:space="preserve">MINISTERE DES AFFAIRES RELIGIEUSES </v>
          </cell>
          <cell r="E843" t="str">
            <v>NK5.762.8.262.128.10.20</v>
          </cell>
        </row>
        <row r="844">
          <cell r="A844" t="str">
            <v>NK576281021</v>
          </cell>
          <cell r="B844" t="str">
            <v>PCCE</v>
          </cell>
          <cell r="C844" t="str">
            <v>DLEP</v>
          </cell>
          <cell r="D844" t="str">
            <v xml:space="preserve">MINISTERE DES AFFAIRES RELIGIEUSES </v>
          </cell>
          <cell r="E844" t="str">
            <v>NK5.762.8.262.128.10.21</v>
          </cell>
        </row>
        <row r="845">
          <cell r="A845" t="str">
            <v>NK576281122</v>
          </cell>
          <cell r="B845" t="str">
            <v>PCCE</v>
          </cell>
          <cell r="C845" t="str">
            <v>DLEP</v>
          </cell>
          <cell r="D845" t="str">
            <v xml:space="preserve">MINISTERE DES AFFAIRES RELIGIEUSES </v>
          </cell>
          <cell r="E845" t="str">
            <v>NK5.762.8.262.128.11.22</v>
          </cell>
        </row>
        <row r="846">
          <cell r="A846" t="str">
            <v>NK5763--14--</v>
          </cell>
          <cell r="B846" t="str">
            <v>PCCE</v>
          </cell>
          <cell r="C846" t="str">
            <v>DAS</v>
          </cell>
          <cell r="D846" t="str">
            <v xml:space="preserve">MINISTERE DE LA SOLIDARITE </v>
          </cell>
          <cell r="E846" t="str">
            <v>NK5.763.--.262.128.14.--</v>
          </cell>
        </row>
        <row r="847">
          <cell r="A847" t="str">
            <v>NK5763--14--</v>
          </cell>
          <cell r="B847" t="str">
            <v>PCCE</v>
          </cell>
          <cell r="C847" t="str">
            <v>DAS</v>
          </cell>
          <cell r="D847" t="str">
            <v xml:space="preserve">MINISTERE DE LA SOLIDARITE </v>
          </cell>
          <cell r="E847" t="str">
            <v>NK5.763.--.262.128.14.--</v>
          </cell>
        </row>
        <row r="848">
          <cell r="A848" t="str">
            <v>NK576481207</v>
          </cell>
          <cell r="B848" t="str">
            <v>PCCE</v>
          </cell>
          <cell r="C848" t="str">
            <v>DAS</v>
          </cell>
          <cell r="D848" t="str">
            <v xml:space="preserve">MINISTERE DE LA SOLIDARITE </v>
          </cell>
          <cell r="E848" t="str">
            <v>NK5.764.8.262.128.12.07</v>
          </cell>
        </row>
        <row r="849">
          <cell r="A849" t="str">
            <v>NK576531001</v>
          </cell>
          <cell r="B849" t="str">
            <v>PCCE</v>
          </cell>
          <cell r="C849" t="str">
            <v>DLEP</v>
          </cell>
          <cell r="D849" t="str">
            <v xml:space="preserve">MINISTERE DE LA SOLIDARITE </v>
          </cell>
          <cell r="E849" t="str">
            <v>NK5.765.3.262.128.10.01</v>
          </cell>
        </row>
        <row r="850">
          <cell r="A850" t="str">
            <v>NK583161007</v>
          </cell>
          <cell r="B850" t="str">
            <v>PCCE</v>
          </cell>
          <cell r="C850" t="str">
            <v>DLEP</v>
          </cell>
          <cell r="E850" t="str">
            <v>NK5.831.6.262.128.10.07</v>
          </cell>
        </row>
        <row r="851">
          <cell r="A851" t="str">
            <v>NK583161008</v>
          </cell>
          <cell r="B851" t="str">
            <v>PCCE</v>
          </cell>
          <cell r="C851" t="str">
            <v>DLEP</v>
          </cell>
          <cell r="E851" t="str">
            <v>NK5.831.6.262.128.10.08</v>
          </cell>
        </row>
        <row r="852">
          <cell r="A852" t="str">
            <v>NK583161009</v>
          </cell>
          <cell r="B852" t="str">
            <v>PCCE</v>
          </cell>
          <cell r="C852" t="str">
            <v>DLEP</v>
          </cell>
          <cell r="E852" t="str">
            <v>NK5.831.6.262.128.10.09</v>
          </cell>
        </row>
        <row r="853">
          <cell r="A853" t="str">
            <v>NK583161010</v>
          </cell>
          <cell r="B853" t="str">
            <v>PCCE</v>
          </cell>
          <cell r="C853" t="str">
            <v>DLEP</v>
          </cell>
          <cell r="E853" t="str">
            <v>NK5.831.6.262.128.10.10</v>
          </cell>
        </row>
        <row r="854">
          <cell r="A854" t="str">
            <v>NK583181011</v>
          </cell>
          <cell r="B854" t="str">
            <v>PCCE</v>
          </cell>
          <cell r="C854" t="str">
            <v>DLEP</v>
          </cell>
          <cell r="E854" t="str">
            <v>NK5.831.8.262.128.10.11</v>
          </cell>
        </row>
        <row r="855">
          <cell r="A855" t="str">
            <v>NK583181012</v>
          </cell>
          <cell r="B855" t="str">
            <v>PCCE</v>
          </cell>
          <cell r="C855" t="str">
            <v>DLEP</v>
          </cell>
          <cell r="E855" t="str">
            <v>NK5.831.8.262.128.10.12</v>
          </cell>
        </row>
        <row r="856">
          <cell r="A856" t="str">
            <v>NK583181013</v>
          </cell>
          <cell r="B856" t="str">
            <v>PCCE</v>
          </cell>
          <cell r="C856" t="str">
            <v>DLEP</v>
          </cell>
          <cell r="E856" t="str">
            <v>NK5.831.8.262.128.10.13</v>
          </cell>
        </row>
        <row r="857">
          <cell r="A857" t="str">
            <v>NK583181014</v>
          </cell>
          <cell r="B857" t="str">
            <v>PCCE</v>
          </cell>
          <cell r="C857" t="str">
            <v>DLEP</v>
          </cell>
          <cell r="E857" t="str">
            <v>NK5.831.8.262.128.10.14</v>
          </cell>
        </row>
        <row r="858">
          <cell r="A858" t="str">
            <v>NK583181015</v>
          </cell>
          <cell r="B858" t="str">
            <v>PCCE</v>
          </cell>
          <cell r="C858" t="str">
            <v>DLEP</v>
          </cell>
          <cell r="E858" t="str">
            <v>NK5.831.8.262.128.10.15</v>
          </cell>
        </row>
        <row r="859">
          <cell r="A859" t="str">
            <v>NK583181016</v>
          </cell>
          <cell r="B859" t="str">
            <v>PCCE</v>
          </cell>
          <cell r="C859" t="str">
            <v>DLEP</v>
          </cell>
          <cell r="E859" t="str">
            <v>NK5.831.8.262.128.10.16</v>
          </cell>
        </row>
        <row r="860">
          <cell r="A860" t="str">
            <v>NK583181017</v>
          </cell>
          <cell r="B860" t="str">
            <v>PCCE</v>
          </cell>
          <cell r="C860" t="str">
            <v>DLEP</v>
          </cell>
          <cell r="E860" t="str">
            <v>NK5.831.8.262.128.10.17</v>
          </cell>
        </row>
        <row r="861">
          <cell r="A861" t="str">
            <v>NK583181018</v>
          </cell>
          <cell r="B861" t="str">
            <v>PCCE</v>
          </cell>
          <cell r="C861" t="str">
            <v>DLEP</v>
          </cell>
          <cell r="E861" t="str">
            <v>NK5.831.8.262.128.10.18</v>
          </cell>
        </row>
        <row r="862">
          <cell r="A862" t="str">
            <v>NK583181119</v>
          </cell>
          <cell r="B862" t="str">
            <v>PCCE</v>
          </cell>
          <cell r="C862" t="str">
            <v>DLEP</v>
          </cell>
          <cell r="E862" t="str">
            <v>NK5.831.8.262.128.11.19</v>
          </cell>
        </row>
        <row r="863">
          <cell r="A863" t="str">
            <v>NK585221008</v>
          </cell>
          <cell r="B863" t="str">
            <v>PCCE</v>
          </cell>
          <cell r="C863" t="str">
            <v>DLEP</v>
          </cell>
          <cell r="D863" t="str">
            <v xml:space="preserve">MINISTERE DE L'INTERIEUR </v>
          </cell>
          <cell r="E863" t="str">
            <v>NK5.852.2.262.128.10.08</v>
          </cell>
        </row>
        <row r="864">
          <cell r="A864" t="str">
            <v>NK585231007</v>
          </cell>
          <cell r="B864" t="str">
            <v>PCCE</v>
          </cell>
          <cell r="C864" t="str">
            <v>DLEP</v>
          </cell>
          <cell r="D864" t="str">
            <v xml:space="preserve">MINISTERE DE L'INTERIEUR </v>
          </cell>
          <cell r="E864" t="str">
            <v>NK5.852.3.262.128.10.07</v>
          </cell>
        </row>
        <row r="865">
          <cell r="A865" t="str">
            <v>NK585231108</v>
          </cell>
          <cell r="B865" t="str">
            <v>PCCE</v>
          </cell>
          <cell r="C865" t="str">
            <v>DLEP</v>
          </cell>
          <cell r="D865" t="str">
            <v xml:space="preserve">MINISTERE DE L'INTERIEUR </v>
          </cell>
          <cell r="E865" t="str">
            <v>NK5.852.3.262.128.11.08</v>
          </cell>
        </row>
        <row r="866">
          <cell r="A866" t="str">
            <v>NK585281011</v>
          </cell>
          <cell r="B866" t="str">
            <v>PCCE</v>
          </cell>
          <cell r="C866" t="str">
            <v>DLEP</v>
          </cell>
          <cell r="D866" t="str">
            <v xml:space="preserve">MINISTERE DE L'INTERIEUR </v>
          </cell>
          <cell r="E866" t="str">
            <v>NK5.852.8.262.128.10.11</v>
          </cell>
        </row>
        <row r="867">
          <cell r="A867" t="str">
            <v>NK585281012</v>
          </cell>
          <cell r="B867" t="str">
            <v>PCCE</v>
          </cell>
          <cell r="C867" t="str">
            <v>DLEP</v>
          </cell>
          <cell r="D867" t="str">
            <v xml:space="preserve">MINISTERE DE L'INTERIEUR </v>
          </cell>
          <cell r="E867" t="str">
            <v>NK5.852.8.262.128.10.12</v>
          </cell>
        </row>
        <row r="868">
          <cell r="A868" t="str">
            <v>NK585281013</v>
          </cell>
          <cell r="B868" t="str">
            <v>PCCE</v>
          </cell>
          <cell r="C868" t="str">
            <v>DLEP</v>
          </cell>
          <cell r="D868" t="str">
            <v xml:space="preserve">MINISTERE DE L'INTERIEUR </v>
          </cell>
          <cell r="E868" t="str">
            <v>NK5.852.8.262.128.10.13</v>
          </cell>
        </row>
        <row r="869">
          <cell r="A869" t="str">
            <v>NK585281115</v>
          </cell>
          <cell r="B869" t="str">
            <v>PCCE</v>
          </cell>
          <cell r="C869" t="str">
            <v>DLEP</v>
          </cell>
          <cell r="D869" t="str">
            <v xml:space="preserve">MINISTERE DE L'INTERIEUR </v>
          </cell>
          <cell r="E869" t="str">
            <v>NK5.852.8.262.128.11.15</v>
          </cell>
        </row>
        <row r="870">
          <cell r="A870" t="str">
            <v>NK585281214</v>
          </cell>
          <cell r="B870" t="str">
            <v>PCCE</v>
          </cell>
          <cell r="C870" t="str">
            <v>DLEP</v>
          </cell>
          <cell r="D870" t="str">
            <v xml:space="preserve">MINISTERE DE L'INTERIEUR </v>
          </cell>
          <cell r="E870" t="str">
            <v>NK5.852.8.262.128.12.14</v>
          </cell>
        </row>
        <row r="871">
          <cell r="A871" t="str">
            <v>NK585281309</v>
          </cell>
          <cell r="B871" t="str">
            <v>PCCE</v>
          </cell>
          <cell r="C871" t="str">
            <v xml:space="preserve">DLEP </v>
          </cell>
          <cell r="D871" t="str">
            <v xml:space="preserve">MINISTERE DE L'INTERIEUR </v>
          </cell>
          <cell r="E871" t="str">
            <v>NK5.852.8.262.128.13.09</v>
          </cell>
        </row>
        <row r="872">
          <cell r="A872" t="str">
            <v>NK585281316</v>
          </cell>
          <cell r="B872" t="str">
            <v>PCCE</v>
          </cell>
          <cell r="C872" t="str">
            <v xml:space="preserve">DLEP </v>
          </cell>
          <cell r="D872" t="str">
            <v xml:space="preserve">MINISTERE DE L'INTERIEUR </v>
          </cell>
          <cell r="E872" t="str">
            <v>NK5.852.8.262.128.13.16</v>
          </cell>
        </row>
        <row r="873">
          <cell r="A873" t="str">
            <v>NK585281317</v>
          </cell>
          <cell r="B873" t="str">
            <v>PCCE</v>
          </cell>
          <cell r="C873" t="str">
            <v xml:space="preserve">DLEP </v>
          </cell>
          <cell r="D873" t="str">
            <v xml:space="preserve">MINISTERE DE L'INTERIEUR </v>
          </cell>
          <cell r="E873" t="str">
            <v>NK5.852.8.262.128.13.17</v>
          </cell>
        </row>
        <row r="874">
          <cell r="A874" t="str">
            <v>NK585281318</v>
          </cell>
          <cell r="B874" t="str">
            <v>PCCE</v>
          </cell>
          <cell r="C874" t="str">
            <v xml:space="preserve">DLEP </v>
          </cell>
          <cell r="D874" t="str">
            <v xml:space="preserve">MINISTERE DE L'INTERIEUR </v>
          </cell>
          <cell r="E874" t="str">
            <v>NK5.852.8.262.128.13.18</v>
          </cell>
        </row>
        <row r="875">
          <cell r="A875" t="str">
            <v>NK5853--12--</v>
          </cell>
          <cell r="B875" t="str">
            <v>PCCE</v>
          </cell>
          <cell r="C875" t="str">
            <v>DLEP</v>
          </cell>
          <cell r="D875" t="str">
            <v xml:space="preserve">MINISTERE DE LA JUSTICE </v>
          </cell>
          <cell r="E875" t="str">
            <v>NK5.853.--.262.128.12.--</v>
          </cell>
        </row>
        <row r="876">
          <cell r="A876" t="str">
            <v>NK585381005</v>
          </cell>
          <cell r="B876" t="str">
            <v>PCCE</v>
          </cell>
          <cell r="C876" t="str">
            <v>DLEP</v>
          </cell>
          <cell r="D876" t="str">
            <v xml:space="preserve">MINISTERE DE LA JUSTICE </v>
          </cell>
          <cell r="E876" t="str">
            <v>NK5.853.8.262.128.10.05</v>
          </cell>
        </row>
        <row r="877">
          <cell r="A877" t="str">
            <v>NK585421007</v>
          </cell>
          <cell r="B877" t="str">
            <v>PCCE</v>
          </cell>
          <cell r="C877" t="str">
            <v>DPC</v>
          </cell>
          <cell r="D877" t="str">
            <v xml:space="preserve">MINISTERE DE L'INTERIEUR </v>
          </cell>
          <cell r="E877" t="str">
            <v>NK5.854.2.262.128.10.07</v>
          </cell>
        </row>
        <row r="878">
          <cell r="A878" t="str">
            <v>NK585421008</v>
          </cell>
          <cell r="B878" t="str">
            <v>PCCE</v>
          </cell>
          <cell r="C878" t="str">
            <v>DPC</v>
          </cell>
          <cell r="D878" t="str">
            <v xml:space="preserve">MINISTERE DE L'INTERIEUR </v>
          </cell>
          <cell r="E878" t="str">
            <v>NK5.854.2.262.128.10.08</v>
          </cell>
        </row>
        <row r="879">
          <cell r="A879" t="str">
            <v>NK585421109</v>
          </cell>
          <cell r="B879" t="str">
            <v>PCCE</v>
          </cell>
          <cell r="C879" t="str">
            <v>DPC</v>
          </cell>
          <cell r="D879" t="str">
            <v xml:space="preserve">MINISTERE DE L'INTERIEUR </v>
          </cell>
          <cell r="E879" t="str">
            <v>NK5.854.2.262.128.11.09</v>
          </cell>
        </row>
        <row r="880">
          <cell r="A880" t="str">
            <v>NK585421110</v>
          </cell>
          <cell r="B880" t="str">
            <v>PCCE</v>
          </cell>
          <cell r="C880" t="str">
            <v>DPC</v>
          </cell>
          <cell r="D880" t="str">
            <v xml:space="preserve">MINISTERE DE L'INTERIEUR </v>
          </cell>
          <cell r="E880" t="str">
            <v>NK5.854.2.262.128.11.10</v>
          </cell>
        </row>
        <row r="881">
          <cell r="A881" t="str">
            <v>NK585441101</v>
          </cell>
          <cell r="B881" t="str">
            <v>PCCE</v>
          </cell>
          <cell r="C881" t="str">
            <v>DPC</v>
          </cell>
          <cell r="D881" t="str">
            <v xml:space="preserve">MINISTERE DE L'INTERIEUR </v>
          </cell>
          <cell r="E881" t="str">
            <v>NK5.854.4.262.128.11.01</v>
          </cell>
        </row>
        <row r="882">
          <cell r="A882" t="str">
            <v>NK585481205</v>
          </cell>
          <cell r="B882" t="str">
            <v>PCCE</v>
          </cell>
          <cell r="C882" t="str">
            <v>DLEP</v>
          </cell>
          <cell r="D882" t="str">
            <v xml:space="preserve">MINISTERE DE L'INTERIEUR </v>
          </cell>
          <cell r="E882" t="str">
            <v>NK5.854.8.262.128.12.05</v>
          </cell>
        </row>
        <row r="883">
          <cell r="A883" t="str">
            <v>SF5171--06--</v>
          </cell>
          <cell r="B883" t="str">
            <v>PHP</v>
          </cell>
          <cell r="C883" t="str">
            <v>PME</v>
          </cell>
          <cell r="D883" t="str">
            <v xml:space="preserve">MINISTERE DES PME </v>
          </cell>
          <cell r="E883" t="str">
            <v>SF5.171.--.262.128.06.--</v>
          </cell>
        </row>
        <row r="884">
          <cell r="A884" t="str">
            <v>SF517230601</v>
          </cell>
          <cell r="B884" t="str">
            <v>PHP</v>
          </cell>
          <cell r="C884" t="str">
            <v>PME</v>
          </cell>
          <cell r="D884" t="str">
            <v xml:space="preserve">MINISTERE DES PME </v>
          </cell>
          <cell r="E884" t="str">
            <v>SF5.172.3.262.128.06.01</v>
          </cell>
        </row>
        <row r="885">
          <cell r="A885" t="str">
            <v>SF517240701</v>
          </cell>
          <cell r="B885" t="str">
            <v>PHP</v>
          </cell>
          <cell r="C885" t="str">
            <v>PME</v>
          </cell>
          <cell r="D885" t="str">
            <v xml:space="preserve">MINISTERE DES PME </v>
          </cell>
          <cell r="E885" t="str">
            <v>SF5.172.4.262.128.07.01</v>
          </cell>
        </row>
        <row r="886">
          <cell r="A886" t="str">
            <v>SF522610618</v>
          </cell>
          <cell r="B886" t="str">
            <v>PHP</v>
          </cell>
          <cell r="C886" t="str">
            <v>C.F</v>
          </cell>
          <cell r="D886" t="str">
            <v xml:space="preserve">DIRECTION DENERALE DES FORETS </v>
          </cell>
          <cell r="E886" t="str">
            <v>SF5.226.1.262.128.06.18</v>
          </cell>
        </row>
        <row r="887">
          <cell r="A887" t="str">
            <v>SF522620616</v>
          </cell>
          <cell r="B887" t="str">
            <v>PHP</v>
          </cell>
          <cell r="C887" t="str">
            <v>C.F</v>
          </cell>
          <cell r="D887" t="str">
            <v xml:space="preserve">DIRECTION DENERALE DES FORETS </v>
          </cell>
          <cell r="E887" t="str">
            <v>SF5.226.2.262.128.06.16</v>
          </cell>
        </row>
        <row r="888">
          <cell r="A888" t="str">
            <v>SF522620717</v>
          </cell>
          <cell r="B888" t="str">
            <v>PHP</v>
          </cell>
          <cell r="C888" t="str">
            <v>C.F</v>
          </cell>
          <cell r="D888" t="str">
            <v xml:space="preserve">DIRECTION DENERALE DES FORETS </v>
          </cell>
          <cell r="E888" t="str">
            <v>SF5.226.2.262.128.07.17</v>
          </cell>
        </row>
        <row r="889">
          <cell r="A889" t="str">
            <v>SF522620718</v>
          </cell>
          <cell r="B889" t="str">
            <v>PHP</v>
          </cell>
          <cell r="C889" t="str">
            <v>C.F</v>
          </cell>
          <cell r="D889" t="str">
            <v xml:space="preserve">DIRECTION DENERALE DES FORETS </v>
          </cell>
          <cell r="E889" t="str">
            <v>SF5.226.2.262.128.07.18</v>
          </cell>
        </row>
        <row r="890">
          <cell r="A890" t="str">
            <v>SF522620719</v>
          </cell>
          <cell r="B890" t="str">
            <v>PHP</v>
          </cell>
          <cell r="C890" t="str">
            <v>C.F</v>
          </cell>
          <cell r="D890" t="str">
            <v xml:space="preserve">DIRECTION DENERALE DES FORETS </v>
          </cell>
          <cell r="E890" t="str">
            <v>SF5.226.2.262.128.07.19</v>
          </cell>
        </row>
        <row r="891">
          <cell r="A891" t="str">
            <v>SF522680604</v>
          </cell>
          <cell r="B891" t="str">
            <v>PHP</v>
          </cell>
          <cell r="C891" t="str">
            <v>C.F</v>
          </cell>
          <cell r="D891" t="str">
            <v xml:space="preserve">DIRECTION DENERALE DES FORETS </v>
          </cell>
          <cell r="E891" t="str">
            <v>SF5.226.8.262.128.06.04</v>
          </cell>
        </row>
        <row r="892">
          <cell r="A892" t="str">
            <v>SF522720608</v>
          </cell>
          <cell r="B892" t="str">
            <v>PHP</v>
          </cell>
          <cell r="C892" t="str">
            <v>C.F</v>
          </cell>
          <cell r="D892" t="str">
            <v xml:space="preserve">DIRECTION DENERALE DES FORETS </v>
          </cell>
          <cell r="E892" t="str">
            <v>SF5.227.2.262.128.06.08</v>
          </cell>
        </row>
        <row r="893">
          <cell r="A893" t="str">
            <v>SF522720609</v>
          </cell>
          <cell r="B893" t="str">
            <v>PHP</v>
          </cell>
          <cell r="C893" t="str">
            <v>C.F</v>
          </cell>
          <cell r="D893" t="str">
            <v xml:space="preserve">DIRECTION DENERALE DES FORETS </v>
          </cell>
          <cell r="E893" t="str">
            <v>SF5.227.2.262.128.06.09</v>
          </cell>
        </row>
        <row r="894">
          <cell r="A894" t="str">
            <v>SF522720611</v>
          </cell>
          <cell r="B894" t="str">
            <v>PHP</v>
          </cell>
          <cell r="C894" t="str">
            <v>C.F</v>
          </cell>
          <cell r="D894" t="str">
            <v xml:space="preserve">DIRECTION DENERALE DES FORETS </v>
          </cell>
          <cell r="E894" t="str">
            <v>SF5.227.2.262.128.06.11</v>
          </cell>
        </row>
        <row r="895">
          <cell r="A895" t="str">
            <v>SF522730605</v>
          </cell>
          <cell r="B895" t="str">
            <v>PHP</v>
          </cell>
          <cell r="C895" t="str">
            <v>C.F</v>
          </cell>
          <cell r="D895" t="str">
            <v xml:space="preserve">DIRECTION DENERALE DES FORETS </v>
          </cell>
          <cell r="E895" t="str">
            <v>SF5.227.3.262.128.06.05</v>
          </cell>
        </row>
        <row r="896">
          <cell r="A896" t="str">
            <v>SF522730703</v>
          </cell>
          <cell r="B896" t="str">
            <v>PHP</v>
          </cell>
          <cell r="C896" t="str">
            <v>C.F</v>
          </cell>
          <cell r="D896" t="str">
            <v xml:space="preserve">DIRECTION DENERALE DES FORETS </v>
          </cell>
          <cell r="E896" t="str">
            <v>SF5.227.3.262.128.07.03</v>
          </cell>
        </row>
        <row r="897">
          <cell r="A897" t="str">
            <v>SF522730705</v>
          </cell>
          <cell r="B897" t="str">
            <v>PHP</v>
          </cell>
          <cell r="C897" t="str">
            <v>C.F</v>
          </cell>
          <cell r="D897" t="str">
            <v xml:space="preserve">DIRECTION DENERALE DES FORETS </v>
          </cell>
          <cell r="E897" t="str">
            <v>SF5.227.3.262.128.07.05</v>
          </cell>
        </row>
        <row r="898">
          <cell r="A898" t="str">
            <v>SF522780607</v>
          </cell>
          <cell r="B898" t="str">
            <v>PHP</v>
          </cell>
          <cell r="C898" t="str">
            <v>C.F</v>
          </cell>
          <cell r="D898" t="str">
            <v xml:space="preserve">DIRECTION DENERALE DES FORETS </v>
          </cell>
          <cell r="E898" t="str">
            <v>SF5.227.8.262.128.06.07</v>
          </cell>
        </row>
        <row r="899">
          <cell r="A899" t="str">
            <v>SF522781020</v>
          </cell>
          <cell r="B899" t="str">
            <v>PHP</v>
          </cell>
          <cell r="C899" t="str">
            <v>C.F</v>
          </cell>
          <cell r="D899" t="str">
            <v xml:space="preserve">DIRECTION DENERALE DES FORETS </v>
          </cell>
          <cell r="E899" t="str">
            <v>SF5.227.8.262.128.10.20</v>
          </cell>
        </row>
        <row r="900">
          <cell r="A900" t="str">
            <v>SF532220727</v>
          </cell>
          <cell r="B900" t="str">
            <v>PHP</v>
          </cell>
          <cell r="C900" t="str">
            <v>DRE</v>
          </cell>
          <cell r="D900" t="str">
            <v xml:space="preserve">MINISTERE DES RESOURCES EN EAU </v>
          </cell>
          <cell r="E900" t="str">
            <v>SF5.322.2.262.128.07.27</v>
          </cell>
        </row>
        <row r="901">
          <cell r="A901" t="str">
            <v>SF532280906</v>
          </cell>
          <cell r="B901" t="str">
            <v>PHP</v>
          </cell>
          <cell r="C901" t="str">
            <v>DRE</v>
          </cell>
          <cell r="D901" t="str">
            <v xml:space="preserve">MINISTERE DES RESOURCES EN EAU </v>
          </cell>
          <cell r="E901" t="str">
            <v>SF5.322.8.262.128.09.06</v>
          </cell>
        </row>
        <row r="902">
          <cell r="A902" t="str">
            <v>SF532360702</v>
          </cell>
          <cell r="B902" t="str">
            <v>PHP</v>
          </cell>
          <cell r="C902" t="str">
            <v>DRE</v>
          </cell>
          <cell r="D902" t="str">
            <v xml:space="preserve">MINISTERE DES RESOURCES EN EAU </v>
          </cell>
          <cell r="E902" t="str">
            <v>SF5.323.6.262.128.07.02</v>
          </cell>
        </row>
        <row r="903">
          <cell r="A903" t="str">
            <v>SF533210702</v>
          </cell>
          <cell r="B903" t="str">
            <v>PHP</v>
          </cell>
          <cell r="C903" t="str">
            <v>DRE</v>
          </cell>
          <cell r="D903" t="str">
            <v xml:space="preserve">MINISTERE DES RESOURCES EN EAU </v>
          </cell>
          <cell r="E903" t="str">
            <v>SF5.332.1.262.128.07.02</v>
          </cell>
        </row>
        <row r="904">
          <cell r="A904" t="str">
            <v>SF533320704</v>
          </cell>
          <cell r="B904" t="str">
            <v>PHP</v>
          </cell>
          <cell r="C904" t="str">
            <v>DRE</v>
          </cell>
          <cell r="D904" t="str">
            <v xml:space="preserve">MINISTERE DES RESOURCES EN EAU </v>
          </cell>
          <cell r="E904" t="str">
            <v>SF5.333.2.262.128.07.04</v>
          </cell>
        </row>
        <row r="905">
          <cell r="A905" t="str">
            <v>SF533320705</v>
          </cell>
          <cell r="B905" t="str">
            <v>PHP</v>
          </cell>
          <cell r="C905" t="str">
            <v>DRE</v>
          </cell>
          <cell r="D905" t="str">
            <v xml:space="preserve">MINISTERE DES RESOURCES EN EAU </v>
          </cell>
          <cell r="E905" t="str">
            <v>SF5.333.2.262.128.07.05</v>
          </cell>
        </row>
        <row r="906">
          <cell r="A906" t="str">
            <v>SF533320706</v>
          </cell>
          <cell r="B906" t="str">
            <v>PHP</v>
          </cell>
          <cell r="C906" t="str">
            <v>DRE</v>
          </cell>
          <cell r="D906" t="str">
            <v xml:space="preserve">MINISTERE DES RESOURCES EN EAU </v>
          </cell>
          <cell r="E906" t="str">
            <v>SF5.333.2.262.128.07.06</v>
          </cell>
        </row>
        <row r="907">
          <cell r="A907" t="str">
            <v>SF533320707</v>
          </cell>
          <cell r="B907" t="str">
            <v>PHP</v>
          </cell>
          <cell r="C907" t="str">
            <v>DRE</v>
          </cell>
          <cell r="D907" t="str">
            <v xml:space="preserve">MINISTERE DES RESOURCES EN EAU </v>
          </cell>
          <cell r="E907" t="str">
            <v>SF5.333.2.262.128.07.07</v>
          </cell>
        </row>
        <row r="908">
          <cell r="A908" t="str">
            <v>SF533320710</v>
          </cell>
          <cell r="B908" t="str">
            <v>PHP</v>
          </cell>
          <cell r="C908" t="str">
            <v>DRE</v>
          </cell>
          <cell r="D908" t="str">
            <v xml:space="preserve">MINISTERE DES RESOURCES EN EAU </v>
          </cell>
          <cell r="E908" t="str">
            <v>SF5.333.2.262.128.07.10</v>
          </cell>
        </row>
        <row r="909">
          <cell r="A909" t="str">
            <v>SF534120617</v>
          </cell>
          <cell r="B909" t="str">
            <v>PHP</v>
          </cell>
          <cell r="C909" t="str">
            <v>DRE</v>
          </cell>
          <cell r="D909" t="str">
            <v xml:space="preserve">MINISTERE DES RESOURCES EN EAU </v>
          </cell>
          <cell r="E909" t="str">
            <v>SF5.341.2.262.128.06.17</v>
          </cell>
        </row>
        <row r="910">
          <cell r="A910" t="str">
            <v>SF534120618</v>
          </cell>
          <cell r="B910" t="str">
            <v>PHP</v>
          </cell>
          <cell r="C910" t="str">
            <v>DRE</v>
          </cell>
          <cell r="D910" t="str">
            <v xml:space="preserve">MINISTERE DES RESOURCES EN EAU </v>
          </cell>
          <cell r="E910" t="str">
            <v>SF5.341.2.262.128.06.18</v>
          </cell>
        </row>
        <row r="911">
          <cell r="A911" t="str">
            <v>SF534180903</v>
          </cell>
          <cell r="B911" t="str">
            <v>PHP</v>
          </cell>
          <cell r="C911" t="str">
            <v>DRE</v>
          </cell>
          <cell r="D911" t="str">
            <v xml:space="preserve">MINISTERE DES RESOURCES EN EAU </v>
          </cell>
          <cell r="E911" t="str">
            <v>SF5.341.8.262.128.09.03</v>
          </cell>
        </row>
        <row r="912">
          <cell r="A912" t="str">
            <v>SF534210606</v>
          </cell>
          <cell r="B912" t="str">
            <v>PHP</v>
          </cell>
          <cell r="C912" t="str">
            <v>DRE</v>
          </cell>
          <cell r="D912" t="str">
            <v xml:space="preserve">MINISTERE DES RESOURCES EN EAU </v>
          </cell>
          <cell r="E912" t="str">
            <v>SF5.342.1.262.128.06.06</v>
          </cell>
        </row>
        <row r="913">
          <cell r="A913" t="str">
            <v>SF534220618</v>
          </cell>
          <cell r="B913" t="str">
            <v>PHP</v>
          </cell>
          <cell r="C913" t="str">
            <v>DRE</v>
          </cell>
          <cell r="D913" t="str">
            <v xml:space="preserve">MINISTERE DES RESOURCES EN EAU </v>
          </cell>
          <cell r="E913" t="str">
            <v>SF5.342.2.262.128.06.18</v>
          </cell>
        </row>
        <row r="914">
          <cell r="A914" t="str">
            <v>SF534260707</v>
          </cell>
          <cell r="B914" t="str">
            <v>PHP</v>
          </cell>
          <cell r="C914" t="str">
            <v>DRE</v>
          </cell>
          <cell r="D914" t="str">
            <v xml:space="preserve">MINISTERE DES RESOURCES EN EAU </v>
          </cell>
          <cell r="E914" t="str">
            <v>SF5.342.6.262.128.07.07</v>
          </cell>
        </row>
        <row r="915">
          <cell r="A915" t="str">
            <v>SF534260708</v>
          </cell>
          <cell r="B915" t="str">
            <v>PHP</v>
          </cell>
          <cell r="C915" t="str">
            <v>DRE</v>
          </cell>
          <cell r="D915" t="str">
            <v xml:space="preserve">MINISTERE DES RESOURCES EN EAU </v>
          </cell>
          <cell r="E915" t="str">
            <v>SF5.342.6.262.128.07.08</v>
          </cell>
        </row>
        <row r="916">
          <cell r="A916" t="str">
            <v>SF534260709</v>
          </cell>
          <cell r="B916" t="str">
            <v>PHP</v>
          </cell>
          <cell r="C916" t="str">
            <v>DRE</v>
          </cell>
          <cell r="D916" t="str">
            <v xml:space="preserve">MINISTERE DES RESOURCES EN EAU </v>
          </cell>
          <cell r="E916" t="str">
            <v>SF5.342.6.262.128.07.09</v>
          </cell>
        </row>
        <row r="917">
          <cell r="A917" t="str">
            <v>SF534260710</v>
          </cell>
          <cell r="B917" t="str">
            <v>PHP</v>
          </cell>
          <cell r="C917" t="str">
            <v>DRE</v>
          </cell>
          <cell r="D917" t="str">
            <v xml:space="preserve">MINISTERE DES RESOURCES EN EAU </v>
          </cell>
          <cell r="E917" t="str">
            <v>SF5.342.6.262.128.07.10</v>
          </cell>
        </row>
        <row r="918">
          <cell r="A918" t="str">
            <v>SF534260711</v>
          </cell>
          <cell r="B918" t="str">
            <v>PHP</v>
          </cell>
          <cell r="C918" t="str">
            <v>DRE</v>
          </cell>
          <cell r="D918" t="str">
            <v xml:space="preserve">MINISTERE DES RESOURCES EN EAU </v>
          </cell>
          <cell r="E918" t="str">
            <v>SF5.342.6.262.128.07.11</v>
          </cell>
        </row>
        <row r="919">
          <cell r="A919" t="str">
            <v>SF534260712</v>
          </cell>
          <cell r="B919" t="str">
            <v>PHP</v>
          </cell>
          <cell r="C919" t="str">
            <v>DRE</v>
          </cell>
          <cell r="D919" t="str">
            <v xml:space="preserve">MINISTERE DES RESOURCES EN EAU </v>
          </cell>
          <cell r="E919" t="str">
            <v>SF5.342.6.262.128.07.12</v>
          </cell>
        </row>
        <row r="920">
          <cell r="A920" t="str">
            <v>SF534260716</v>
          </cell>
          <cell r="B920" t="str">
            <v>PHP</v>
          </cell>
          <cell r="C920" t="str">
            <v>DRE</v>
          </cell>
          <cell r="D920" t="str">
            <v xml:space="preserve">MINISTERE DES RESOURCES EN EAU </v>
          </cell>
          <cell r="E920" t="str">
            <v>SF5.342.6.262.128.07.16</v>
          </cell>
        </row>
        <row r="921">
          <cell r="A921" t="str">
            <v>SF534260917</v>
          </cell>
          <cell r="B921" t="str">
            <v>PHP</v>
          </cell>
          <cell r="C921" t="str">
            <v>DRE</v>
          </cell>
          <cell r="D921" t="str">
            <v xml:space="preserve">MINISTERE DES RESOURCES EN EAU </v>
          </cell>
          <cell r="E921" t="str">
            <v>SF5.342.6.262.128.09.17</v>
          </cell>
        </row>
        <row r="922">
          <cell r="A922" t="str">
            <v>SF534260918</v>
          </cell>
          <cell r="B922" t="str">
            <v>PHP</v>
          </cell>
          <cell r="C922" t="str">
            <v>DRE</v>
          </cell>
          <cell r="D922" t="str">
            <v xml:space="preserve">MINISTERE DES RESOURCES EN EAU </v>
          </cell>
          <cell r="E922" t="str">
            <v>SF5.342.6.262.128.09.18</v>
          </cell>
        </row>
        <row r="923">
          <cell r="A923" t="str">
            <v>SF534260919</v>
          </cell>
          <cell r="B923" t="str">
            <v>PHP</v>
          </cell>
          <cell r="C923" t="str">
            <v>DRE</v>
          </cell>
          <cell r="D923" t="str">
            <v xml:space="preserve">MINISTERE DES RESOURCES EN EAU </v>
          </cell>
          <cell r="E923" t="str">
            <v>SF5.342.6.262.128.09.19</v>
          </cell>
        </row>
        <row r="924">
          <cell r="A924" t="str">
            <v>SF534260920</v>
          </cell>
          <cell r="B924" t="str">
            <v>PHP</v>
          </cell>
          <cell r="C924" t="str">
            <v>DRE</v>
          </cell>
          <cell r="D924" t="str">
            <v xml:space="preserve">MINISTERE DES RESOURCES EN EAU </v>
          </cell>
          <cell r="E924" t="str">
            <v>SF5.342.6.262.128.09.20</v>
          </cell>
        </row>
        <row r="925">
          <cell r="A925" t="str">
            <v>SF534260921</v>
          </cell>
          <cell r="B925" t="str">
            <v>PHP</v>
          </cell>
          <cell r="C925" t="str">
            <v>DRE</v>
          </cell>
          <cell r="D925" t="str">
            <v xml:space="preserve">MINISTERE DES RESOURCES EN EAU </v>
          </cell>
          <cell r="E925" t="str">
            <v>SF5.342.6.262.128.09.21</v>
          </cell>
        </row>
        <row r="926">
          <cell r="A926" t="str">
            <v>SF5352--06--</v>
          </cell>
          <cell r="B926" t="str">
            <v>PHP</v>
          </cell>
          <cell r="C926" t="str">
            <v>D ENVI</v>
          </cell>
          <cell r="D926" t="str">
            <v xml:space="preserve">MINISTERE DE L'ENVIRONNOMENT </v>
          </cell>
          <cell r="E926" t="str">
            <v>SF5.352.--.262.128.06.--</v>
          </cell>
        </row>
        <row r="927">
          <cell r="A927" t="str">
            <v>SF535210602</v>
          </cell>
          <cell r="B927" t="str">
            <v>PHP</v>
          </cell>
          <cell r="C927" t="str">
            <v>D ENVI</v>
          </cell>
          <cell r="D927" t="str">
            <v xml:space="preserve">MINISTERE DE L'ENVIRONNOMENT </v>
          </cell>
          <cell r="E927" t="str">
            <v>SF5.352.1.262.128.06.02</v>
          </cell>
        </row>
        <row r="928">
          <cell r="A928" t="str">
            <v>SF535210603</v>
          </cell>
          <cell r="B928" t="str">
            <v>PHP</v>
          </cell>
          <cell r="C928" t="str">
            <v>D ENVI</v>
          </cell>
          <cell r="D928" t="str">
            <v xml:space="preserve">MINISTERE DE L'ENVIRONNOMENT </v>
          </cell>
          <cell r="E928" t="str">
            <v>SF5.352.1.262.128.06.03</v>
          </cell>
        </row>
        <row r="929">
          <cell r="A929" t="str">
            <v>SF535210606</v>
          </cell>
          <cell r="B929" t="str">
            <v>PHP</v>
          </cell>
          <cell r="C929" t="str">
            <v>D ENVI</v>
          </cell>
          <cell r="D929" t="str">
            <v xml:space="preserve">MINISTERE DE L'ENVIRONNOMENT </v>
          </cell>
          <cell r="E929" t="str">
            <v>SF5.352.1.262.128.06.06</v>
          </cell>
        </row>
        <row r="930">
          <cell r="A930" t="str">
            <v>SF535210704</v>
          </cell>
          <cell r="B930" t="str">
            <v>PHP</v>
          </cell>
          <cell r="C930" t="str">
            <v>D ENVI</v>
          </cell>
          <cell r="D930" t="str">
            <v xml:space="preserve">MINISTERE DE L'ENVIRONNOMENT </v>
          </cell>
          <cell r="E930" t="str">
            <v>SF5.352.1.262.128.07.04</v>
          </cell>
        </row>
        <row r="931">
          <cell r="A931" t="str">
            <v>SF535210705</v>
          </cell>
          <cell r="B931" t="str">
            <v>PHP</v>
          </cell>
          <cell r="C931" t="str">
            <v>D ENVI</v>
          </cell>
          <cell r="D931" t="str">
            <v xml:space="preserve">MINISTERE DE L'ENVIRONNOMENT </v>
          </cell>
          <cell r="E931" t="str">
            <v>SF5.352.1.262.128.07.05</v>
          </cell>
        </row>
        <row r="932">
          <cell r="A932" t="str">
            <v>SF535220604</v>
          </cell>
          <cell r="B932" t="str">
            <v>PHP</v>
          </cell>
          <cell r="C932" t="str">
            <v>D ENVI</v>
          </cell>
          <cell r="D932" t="str">
            <v xml:space="preserve">MINISTERE DE L'ENVIRONNOMENT </v>
          </cell>
          <cell r="E932" t="str">
            <v>SF5.352.2.262.128.06.04</v>
          </cell>
        </row>
        <row r="933">
          <cell r="A933" t="str">
            <v>SF535290603</v>
          </cell>
          <cell r="B933" t="str">
            <v>PHP</v>
          </cell>
          <cell r="C933" t="str">
            <v>D ENVI</v>
          </cell>
          <cell r="D933" t="str">
            <v xml:space="preserve">MINISTERE DE L'ENVIRONNOMENT </v>
          </cell>
          <cell r="E933" t="str">
            <v>SF5.352.9.262.128.06.03</v>
          </cell>
        </row>
        <row r="934">
          <cell r="A934" t="str">
            <v>SF535290605</v>
          </cell>
          <cell r="B934" t="str">
            <v>PHP</v>
          </cell>
          <cell r="C934" t="str">
            <v>D ENVI</v>
          </cell>
          <cell r="D934" t="str">
            <v xml:space="preserve">MINISTERE DE L'ENVIRONNOMENT </v>
          </cell>
          <cell r="E934" t="str">
            <v>SF5.352.9.262.128.06.05</v>
          </cell>
        </row>
        <row r="935">
          <cell r="A935" t="str">
            <v>SF535290606</v>
          </cell>
          <cell r="B935" t="str">
            <v>PHP</v>
          </cell>
          <cell r="C935" t="str">
            <v>D ENVI</v>
          </cell>
          <cell r="D935" t="str">
            <v xml:space="preserve">MINISTERE DE L'ENVIRONNOMENT </v>
          </cell>
          <cell r="E935" t="str">
            <v>SF5.352.9.262.128.06.06</v>
          </cell>
        </row>
        <row r="936">
          <cell r="A936" t="str">
            <v>SF535290612</v>
          </cell>
          <cell r="B936" t="str">
            <v>PHP</v>
          </cell>
          <cell r="C936" t="str">
            <v>D.ENV</v>
          </cell>
          <cell r="D936" t="str">
            <v xml:space="preserve">MINISTERE DE L'ENVIRONNOMENT </v>
          </cell>
          <cell r="E936" t="str">
            <v>SF5.352.9.262.128.06.12</v>
          </cell>
        </row>
        <row r="937">
          <cell r="A937" t="str">
            <v>SF535290613</v>
          </cell>
          <cell r="B937" t="str">
            <v>PHP</v>
          </cell>
          <cell r="C937" t="str">
            <v>D.ENV</v>
          </cell>
          <cell r="D937" t="str">
            <v xml:space="preserve">MINISTERE DE L'ENVIRONNOMENT </v>
          </cell>
          <cell r="E937" t="str">
            <v>SF5.352.9.262.128.06.13</v>
          </cell>
        </row>
        <row r="938">
          <cell r="A938" t="str">
            <v>SF535290614</v>
          </cell>
          <cell r="B938" t="str">
            <v>PHP</v>
          </cell>
          <cell r="C938" t="str">
            <v>D.ENV</v>
          </cell>
          <cell r="D938" t="str">
            <v xml:space="preserve">MINISTERE DE L'ENVIRONNOMENT </v>
          </cell>
          <cell r="E938" t="str">
            <v>SF5.352.9.262.128.06.14</v>
          </cell>
        </row>
        <row r="939">
          <cell r="A939" t="str">
            <v>SF535290704</v>
          </cell>
          <cell r="B939" t="str">
            <v>PHP</v>
          </cell>
          <cell r="C939" t="str">
            <v>D ENVI</v>
          </cell>
          <cell r="D939" t="str">
            <v xml:space="preserve">MINISTERE DE L'ENVIRONNOMENT </v>
          </cell>
          <cell r="E939" t="str">
            <v>SF5.352.9.262.128.07.04</v>
          </cell>
        </row>
        <row r="940">
          <cell r="A940" t="str">
            <v>SF535290708</v>
          </cell>
          <cell r="B940" t="str">
            <v>PHP</v>
          </cell>
          <cell r="C940" t="str">
            <v>D ENVI</v>
          </cell>
          <cell r="D940" t="str">
            <v xml:space="preserve">MINISTERE DE L'ENVIRONNOMENT </v>
          </cell>
          <cell r="E940" t="str">
            <v>SF5.352.9.262.128.07.08</v>
          </cell>
        </row>
        <row r="941">
          <cell r="A941" t="str">
            <v>SF535290710</v>
          </cell>
          <cell r="B941" t="str">
            <v>PHP</v>
          </cell>
          <cell r="C941" t="str">
            <v>D ENVI</v>
          </cell>
          <cell r="D941" t="str">
            <v xml:space="preserve">MINISTERE DE L'ENVIRONNOMENT </v>
          </cell>
          <cell r="E941" t="str">
            <v>SF5.352.9.262.128.07.10</v>
          </cell>
        </row>
        <row r="942">
          <cell r="A942" t="str">
            <v>SF541110601</v>
          </cell>
          <cell r="B942" t="str">
            <v>PHP</v>
          </cell>
          <cell r="C942" t="str">
            <v>DT</v>
          </cell>
          <cell r="D942" t="str">
            <v>MINISTERE DES TRAVAUX PUBLIC</v>
          </cell>
          <cell r="E942" t="str">
            <v>SF5.411.1.262.128.06.01</v>
          </cell>
        </row>
        <row r="943">
          <cell r="A943" t="str">
            <v>SF541110602</v>
          </cell>
          <cell r="B943" t="str">
            <v>PHP</v>
          </cell>
          <cell r="C943" t="str">
            <v>DT</v>
          </cell>
          <cell r="D943" t="str">
            <v>MINISTERE DES TRAVAUX PUBLIC</v>
          </cell>
          <cell r="E943" t="str">
            <v>SF5.411.1.262.128.06.02</v>
          </cell>
        </row>
        <row r="944">
          <cell r="A944" t="str">
            <v>SF542180602</v>
          </cell>
          <cell r="B944" t="str">
            <v>PHP</v>
          </cell>
          <cell r="C944" t="str">
            <v>D.tourisme</v>
          </cell>
          <cell r="D944" t="str">
            <v xml:space="preserve">MINISTERE DE TOURSIME </v>
          </cell>
          <cell r="E944" t="str">
            <v>SF5.421.8.262.128.06.02</v>
          </cell>
        </row>
        <row r="945">
          <cell r="A945" t="str">
            <v>SF542180901</v>
          </cell>
          <cell r="B945" t="str">
            <v>PHP</v>
          </cell>
          <cell r="C945" t="str">
            <v>DT</v>
          </cell>
          <cell r="D945" t="str">
            <v>MINISTERE DES TRAVAUX PUBLIC</v>
          </cell>
          <cell r="E945" t="str">
            <v>SF5.421.8.262.128.09.01</v>
          </cell>
        </row>
        <row r="946">
          <cell r="A946" t="str">
            <v>SF551220601</v>
          </cell>
          <cell r="B946" t="str">
            <v>PHP</v>
          </cell>
          <cell r="C946" t="str">
            <v>DT</v>
          </cell>
          <cell r="D946" t="str">
            <v>MINISTERE DES TRAVAUX PUBLIC</v>
          </cell>
          <cell r="E946" t="str">
            <v>SF5.512.2.262.128.06.01</v>
          </cell>
        </row>
        <row r="947">
          <cell r="A947" t="str">
            <v>SF551220602</v>
          </cell>
          <cell r="B947" t="str">
            <v>PHP</v>
          </cell>
          <cell r="C947" t="str">
            <v>DT</v>
          </cell>
          <cell r="D947" t="str">
            <v>MINISTERE DES TRAVAUX PUBLIC</v>
          </cell>
          <cell r="E947" t="str">
            <v>SF5.512.2.262.128.06.02</v>
          </cell>
        </row>
        <row r="948">
          <cell r="A948" t="str">
            <v>SF551220603</v>
          </cell>
          <cell r="B948" t="str">
            <v>PHP</v>
          </cell>
          <cell r="C948" t="str">
            <v>DT</v>
          </cell>
          <cell r="D948" t="str">
            <v>MINISTERE DES TRAVAUX PUBLIC</v>
          </cell>
          <cell r="E948" t="str">
            <v>SF5.512.2.262.128.06.03</v>
          </cell>
        </row>
        <row r="949">
          <cell r="A949" t="str">
            <v>SF551220604</v>
          </cell>
          <cell r="B949" t="str">
            <v>PHP</v>
          </cell>
          <cell r="C949" t="str">
            <v>DT</v>
          </cell>
          <cell r="D949" t="str">
            <v>MINISTERE DES TRAVAUX PUBLIC</v>
          </cell>
          <cell r="E949" t="str">
            <v>SF5.512.2.262.128.06.04</v>
          </cell>
        </row>
        <row r="950">
          <cell r="A950" t="str">
            <v>SF552120606</v>
          </cell>
          <cell r="B950" t="str">
            <v>PHP</v>
          </cell>
          <cell r="C950" t="str">
            <v xml:space="preserve">DTP </v>
          </cell>
          <cell r="D950" t="str">
            <v>MINISTERE DES TRAVAUX PUBLIC</v>
          </cell>
          <cell r="E950" t="str">
            <v>SF5.521.2.262.128.06.06</v>
          </cell>
        </row>
        <row r="951">
          <cell r="A951" t="str">
            <v>SF552120607</v>
          </cell>
          <cell r="B951" t="str">
            <v>PHP</v>
          </cell>
          <cell r="C951" t="str">
            <v xml:space="preserve">DTP </v>
          </cell>
          <cell r="D951" t="str">
            <v>MINISTERE DES TRAVAUX PUBLIC</v>
          </cell>
          <cell r="E951" t="str">
            <v>SF5.521.2.262.128.06.07</v>
          </cell>
        </row>
        <row r="952">
          <cell r="A952" t="str">
            <v>SF552120608</v>
          </cell>
          <cell r="B952" t="str">
            <v>PHP</v>
          </cell>
          <cell r="C952" t="str">
            <v xml:space="preserve">DTP </v>
          </cell>
          <cell r="D952" t="str">
            <v>MINISTERE DES TRAVAUX PUBLIC</v>
          </cell>
          <cell r="E952" t="str">
            <v>SF5.521.2.262.128.06.08</v>
          </cell>
        </row>
        <row r="953">
          <cell r="A953" t="str">
            <v>SF552120610</v>
          </cell>
          <cell r="B953" t="str">
            <v>PHP</v>
          </cell>
          <cell r="C953" t="str">
            <v xml:space="preserve">DTP </v>
          </cell>
          <cell r="D953" t="str">
            <v>MINISTERE DES TRAVAUX PUBLIC</v>
          </cell>
          <cell r="E953" t="str">
            <v>SF5.521.2.262.128.06.10</v>
          </cell>
        </row>
        <row r="954">
          <cell r="A954" t="str">
            <v>SF552180613</v>
          </cell>
          <cell r="B954" t="str">
            <v>PHP</v>
          </cell>
          <cell r="C954" t="str">
            <v xml:space="preserve">DTP </v>
          </cell>
          <cell r="D954" t="str">
            <v>MINISTERE DES TRAVAUX PUBLIC</v>
          </cell>
          <cell r="E954" t="str">
            <v>SF5.521.8.262.128.06.13</v>
          </cell>
        </row>
        <row r="955">
          <cell r="A955" t="str">
            <v>SF552180614</v>
          </cell>
          <cell r="B955" t="str">
            <v>PHP</v>
          </cell>
          <cell r="C955" t="str">
            <v xml:space="preserve">DTP </v>
          </cell>
          <cell r="D955" t="str">
            <v>MINISTERE DES TRAVAUX PUBLIC</v>
          </cell>
          <cell r="E955" t="str">
            <v>SF5.521.8.262.128.06.14</v>
          </cell>
        </row>
        <row r="956">
          <cell r="A956" t="str">
            <v>SF552180615</v>
          </cell>
          <cell r="B956" t="str">
            <v>PHP</v>
          </cell>
          <cell r="C956" t="str">
            <v xml:space="preserve">DTP </v>
          </cell>
          <cell r="D956" t="str">
            <v>MINISTERE DES TRAVAUX PUBLIC</v>
          </cell>
          <cell r="E956" t="str">
            <v>SF5.521.8.262.128.06.15</v>
          </cell>
        </row>
        <row r="957">
          <cell r="A957" t="str">
            <v>SF552180716</v>
          </cell>
          <cell r="B957" t="str">
            <v>PHP</v>
          </cell>
          <cell r="C957" t="str">
            <v xml:space="preserve">DTP </v>
          </cell>
          <cell r="D957" t="str">
            <v>MINISTERE DES TRAVAUX PUBLIC</v>
          </cell>
          <cell r="E957" t="str">
            <v>SF5.521.8.262.128.07.16</v>
          </cell>
        </row>
        <row r="958">
          <cell r="A958" t="str">
            <v>SF552180917</v>
          </cell>
          <cell r="B958" t="str">
            <v>PHP</v>
          </cell>
          <cell r="C958" t="str">
            <v xml:space="preserve">DTP </v>
          </cell>
          <cell r="D958" t="str">
            <v>MINISTERE DES TRAVAUX PUBLIC</v>
          </cell>
          <cell r="E958" t="str">
            <v>SF5.521.8.262.128.09.17</v>
          </cell>
        </row>
        <row r="959">
          <cell r="A959" t="str">
            <v>SF552220606</v>
          </cell>
          <cell r="B959" t="str">
            <v>PHP</v>
          </cell>
          <cell r="C959" t="str">
            <v xml:space="preserve">DTP </v>
          </cell>
          <cell r="D959" t="str">
            <v>MINISTERE DES TRAVAUX PUBLIC</v>
          </cell>
          <cell r="E959" t="str">
            <v>SF5.522.2.262.128.06.06</v>
          </cell>
        </row>
        <row r="960">
          <cell r="A960" t="str">
            <v>SF552220608</v>
          </cell>
          <cell r="B960" t="str">
            <v>PHP</v>
          </cell>
          <cell r="C960" t="str">
            <v xml:space="preserve">DTP </v>
          </cell>
          <cell r="D960" t="str">
            <v>MINISTERE DES TRAVAUX PUBLIC</v>
          </cell>
          <cell r="E960" t="str">
            <v>SF5.522.2.262.128.06.08</v>
          </cell>
        </row>
        <row r="961">
          <cell r="A961" t="str">
            <v>SF552220706</v>
          </cell>
          <cell r="B961" t="str">
            <v>PHP</v>
          </cell>
          <cell r="C961" t="str">
            <v xml:space="preserve">DTP </v>
          </cell>
          <cell r="D961" t="str">
            <v>MINISTERE DES TRAVAUX PUBLIC</v>
          </cell>
          <cell r="E961" t="str">
            <v>SF5.522.2.262.128.07.06</v>
          </cell>
        </row>
        <row r="962">
          <cell r="A962" t="str">
            <v>SF552220707</v>
          </cell>
          <cell r="B962" t="str">
            <v>PHP</v>
          </cell>
          <cell r="C962" t="str">
            <v xml:space="preserve">DTP </v>
          </cell>
          <cell r="D962" t="str">
            <v>MINISTERE DES TRAVAUX PUBLIC</v>
          </cell>
          <cell r="E962" t="str">
            <v>SF5.522.2.262.128.07.07</v>
          </cell>
        </row>
        <row r="963">
          <cell r="A963" t="str">
            <v>SF552220710</v>
          </cell>
          <cell r="B963" t="str">
            <v>PHP</v>
          </cell>
          <cell r="C963" t="str">
            <v xml:space="preserve">DTP </v>
          </cell>
          <cell r="D963" t="str">
            <v>MINISTERE DES TRAVAUX PUBLIC</v>
          </cell>
          <cell r="E963" t="str">
            <v>SF5.522.2.262.128.07.10</v>
          </cell>
        </row>
        <row r="964">
          <cell r="A964" t="str">
            <v>SF552280709</v>
          </cell>
          <cell r="B964" t="str">
            <v>PHP</v>
          </cell>
          <cell r="C964" t="str">
            <v xml:space="preserve">DTP </v>
          </cell>
          <cell r="D964" t="str">
            <v>MINISTERE DES TRAVAUX PUBLIC</v>
          </cell>
          <cell r="E964" t="str">
            <v>SF5.522.8.262.128.07.09</v>
          </cell>
        </row>
        <row r="965">
          <cell r="A965" t="str">
            <v>SF553110608</v>
          </cell>
          <cell r="B965" t="str">
            <v>PHP</v>
          </cell>
          <cell r="C965" t="str">
            <v xml:space="preserve">DTP </v>
          </cell>
          <cell r="D965" t="str">
            <v>MINISTERE DES TRAVAUX PUBLIC</v>
          </cell>
          <cell r="E965" t="str">
            <v>SF5.531.1.262.128.06.08</v>
          </cell>
        </row>
        <row r="966">
          <cell r="A966" t="str">
            <v>SF553110610</v>
          </cell>
          <cell r="B966" t="str">
            <v>PHP</v>
          </cell>
          <cell r="C966" t="str">
            <v xml:space="preserve">DTP </v>
          </cell>
          <cell r="D966" t="str">
            <v>MINISTERE DES TRAVAUX PUBLIC</v>
          </cell>
          <cell r="E966" t="str">
            <v>SF5.531.1.262.128.06.10</v>
          </cell>
        </row>
        <row r="967">
          <cell r="A967" t="str">
            <v>SF553110709</v>
          </cell>
          <cell r="B967" t="str">
            <v>PHP</v>
          </cell>
          <cell r="C967" t="str">
            <v xml:space="preserve">DTP </v>
          </cell>
          <cell r="D967" t="str">
            <v>MINISTERE DES TRAVAUX PUBLIC</v>
          </cell>
          <cell r="E967" t="str">
            <v>SF5.531.1.262.128.07.09</v>
          </cell>
        </row>
        <row r="968">
          <cell r="A968" t="str">
            <v>SF553510709</v>
          </cell>
          <cell r="B968" t="str">
            <v>PHP</v>
          </cell>
          <cell r="C968" t="str">
            <v xml:space="preserve">DTP </v>
          </cell>
          <cell r="D968" t="str">
            <v>MINISTERE DES TRAVAUX PUBLIC</v>
          </cell>
          <cell r="E968" t="str">
            <v>SF5.535.1.262.128.07.09</v>
          </cell>
        </row>
        <row r="969">
          <cell r="A969" t="str">
            <v>SF553510912</v>
          </cell>
          <cell r="B969" t="str">
            <v>PHP</v>
          </cell>
          <cell r="C969" t="str">
            <v xml:space="preserve">DTP </v>
          </cell>
          <cell r="D969" t="str">
            <v>MINISTERE DES TRAVAUX PUBLIC</v>
          </cell>
          <cell r="E969" t="str">
            <v>SF5.535.1.262.128.09.12</v>
          </cell>
        </row>
        <row r="970">
          <cell r="A970" t="str">
            <v>SF553510913</v>
          </cell>
          <cell r="B970" t="str">
            <v>PHP</v>
          </cell>
          <cell r="C970" t="str">
            <v xml:space="preserve">DTP </v>
          </cell>
          <cell r="D970" t="str">
            <v>MINISTERE DES TRAVAUX PUBLIC</v>
          </cell>
          <cell r="E970" t="str">
            <v>SF5.535.1.262.128.09.13</v>
          </cell>
        </row>
        <row r="971">
          <cell r="A971" t="str">
            <v>SF562130709</v>
          </cell>
          <cell r="B971" t="str">
            <v>PHP</v>
          </cell>
          <cell r="C971" t="str">
            <v>DLEP</v>
          </cell>
          <cell r="D971" t="str">
            <v xml:space="preserve">MINISTERE DE L'ENSEIGNEMENT SUPERIEUR </v>
          </cell>
          <cell r="E971" t="str">
            <v>SF5.621.3.262.128.07.09</v>
          </cell>
        </row>
        <row r="972">
          <cell r="A972" t="str">
            <v>SF562150611</v>
          </cell>
          <cell r="B972" t="str">
            <v>PHP</v>
          </cell>
          <cell r="C972" t="str">
            <v>DLEP</v>
          </cell>
          <cell r="D972" t="str">
            <v xml:space="preserve">MINISTERE DE L'ENSEIGNEMENT SUPERIEUR </v>
          </cell>
          <cell r="E972" t="str">
            <v>SF5.621.5.262.128.06.11</v>
          </cell>
        </row>
        <row r="973">
          <cell r="A973" t="str">
            <v>SF562150713</v>
          </cell>
          <cell r="B973" t="str">
            <v>PHP</v>
          </cell>
          <cell r="C973" t="str">
            <v>DLEP</v>
          </cell>
          <cell r="D973" t="str">
            <v xml:space="preserve">MINISTERE DE L'ENSEIGNEMENT SUPERIEUR </v>
          </cell>
          <cell r="E973" t="str">
            <v>SF5.621.5.262.128.07.13</v>
          </cell>
        </row>
        <row r="974">
          <cell r="A974" t="str">
            <v>SF562160601</v>
          </cell>
          <cell r="B974" t="str">
            <v>PHP</v>
          </cell>
          <cell r="C974" t="str">
            <v>DLEP</v>
          </cell>
          <cell r="D974" t="str">
            <v xml:space="preserve">MINISTERE DE L'ENSEIGNEMENT SUPERIEUR </v>
          </cell>
          <cell r="E974" t="str">
            <v>SF5.621.6.262.128.06.01</v>
          </cell>
        </row>
        <row r="975">
          <cell r="A975" t="str">
            <v>SF562180607</v>
          </cell>
          <cell r="B975" t="str">
            <v>PHP</v>
          </cell>
          <cell r="C975" t="str">
            <v>DLEP</v>
          </cell>
          <cell r="D975" t="str">
            <v xml:space="preserve">MINISTERE DE L'ENSEIGNEMENT SUPERIEUR </v>
          </cell>
          <cell r="E975" t="str">
            <v>SF5.621.8.262.128.06.07</v>
          </cell>
        </row>
        <row r="976">
          <cell r="A976" t="str">
            <v>SF562180608</v>
          </cell>
          <cell r="B976" t="str">
            <v>PHP</v>
          </cell>
          <cell r="C976" t="str">
            <v>DLEP</v>
          </cell>
          <cell r="D976" t="str">
            <v xml:space="preserve">MINISTERE DE L'ENSEIGNEMENT SUPERIEUR </v>
          </cell>
          <cell r="E976" t="str">
            <v>SF5.621.8.262.128.06.08</v>
          </cell>
        </row>
        <row r="977">
          <cell r="A977" t="str">
            <v>SF562180609</v>
          </cell>
          <cell r="B977" t="str">
            <v>PHP</v>
          </cell>
          <cell r="C977" t="str">
            <v>DLEP</v>
          </cell>
          <cell r="D977" t="str">
            <v xml:space="preserve">MINISTERE DE L'ENSEIGNEMENT SUPERIEUR </v>
          </cell>
          <cell r="E977" t="str">
            <v>SF5.621.8.262.128.06.09</v>
          </cell>
        </row>
        <row r="978">
          <cell r="A978" t="str">
            <v>SF562180610</v>
          </cell>
          <cell r="B978" t="str">
            <v>PHP</v>
          </cell>
          <cell r="C978" t="str">
            <v>DLEP</v>
          </cell>
          <cell r="D978" t="str">
            <v xml:space="preserve">MINISTERE DE L'ENSEIGNEMENT SUPERIEUR </v>
          </cell>
          <cell r="E978" t="str">
            <v>SF5.621.8.262.128.06.10</v>
          </cell>
        </row>
        <row r="979">
          <cell r="A979" t="str">
            <v>SF562180613</v>
          </cell>
          <cell r="B979" t="str">
            <v>PHP</v>
          </cell>
          <cell r="C979" t="str">
            <v>DLEP</v>
          </cell>
          <cell r="D979" t="str">
            <v xml:space="preserve">MINISTERE DE L'ENSEIGNEMENT SUPERIEUR </v>
          </cell>
          <cell r="E979" t="str">
            <v>SF5.621.8.262.128.06.13</v>
          </cell>
        </row>
        <row r="980">
          <cell r="A980" t="str">
            <v>SF562180614</v>
          </cell>
          <cell r="B980" t="str">
            <v>PHP</v>
          </cell>
          <cell r="C980" t="str">
            <v>DLEP</v>
          </cell>
          <cell r="D980" t="str">
            <v xml:space="preserve">MINISTERE DE L'ENSEIGNEMENT SUPERIEUR </v>
          </cell>
          <cell r="E980" t="str">
            <v>SF5.621.8.262.128.06.14</v>
          </cell>
        </row>
        <row r="981">
          <cell r="A981" t="str">
            <v>SF562210725</v>
          </cell>
          <cell r="B981" t="str">
            <v>PHP</v>
          </cell>
          <cell r="C981" t="str">
            <v>DLEP</v>
          </cell>
          <cell r="D981" t="str">
            <v xml:space="preserve">MINISTERE DE L'EDUCATION </v>
          </cell>
          <cell r="E981" t="str">
            <v>SF5.622.1.262.128.07.25</v>
          </cell>
        </row>
        <row r="982">
          <cell r="A982" t="str">
            <v>SF562260625</v>
          </cell>
          <cell r="B982" t="str">
            <v>PHP</v>
          </cell>
          <cell r="C982" t="str">
            <v>DLEP</v>
          </cell>
          <cell r="D982" t="str">
            <v xml:space="preserve">MINISTERE DE L'EDUCATION </v>
          </cell>
          <cell r="E982" t="str">
            <v>SF5.622.6.262.128.06.25</v>
          </cell>
        </row>
        <row r="983">
          <cell r="A983" t="str">
            <v>SF562270603</v>
          </cell>
          <cell r="B983" t="str">
            <v>PHP</v>
          </cell>
          <cell r="C983" t="str">
            <v>DLEP</v>
          </cell>
          <cell r="D983" t="str">
            <v xml:space="preserve">MINISTERE DE L'EDUCATION </v>
          </cell>
          <cell r="E983" t="str">
            <v>SF5.622.7.262.128.06.03</v>
          </cell>
        </row>
        <row r="984">
          <cell r="A984" t="str">
            <v>SF562280620</v>
          </cell>
          <cell r="B984" t="str">
            <v>PHP</v>
          </cell>
          <cell r="C984" t="str">
            <v>DLEP</v>
          </cell>
          <cell r="D984" t="str">
            <v xml:space="preserve">MINISTERE DE L'EDUCATION </v>
          </cell>
          <cell r="E984" t="str">
            <v>SF5.622.8.262.128.06.20</v>
          </cell>
        </row>
        <row r="985">
          <cell r="A985" t="str">
            <v>SF562280716</v>
          </cell>
          <cell r="B985" t="str">
            <v>PHP</v>
          </cell>
          <cell r="C985" t="str">
            <v>DLEP</v>
          </cell>
          <cell r="D985" t="str">
            <v xml:space="preserve">MINISTERE DE L'EDUCATION </v>
          </cell>
          <cell r="E985" t="str">
            <v>SF5.622.8.262.128.07.16</v>
          </cell>
        </row>
        <row r="986">
          <cell r="A986" t="str">
            <v>SF562320758</v>
          </cell>
          <cell r="B986" t="str">
            <v>PHP</v>
          </cell>
          <cell r="C986" t="str">
            <v>DLEP</v>
          </cell>
          <cell r="D986" t="str">
            <v xml:space="preserve">MINISTERE DE L'EDUCATION </v>
          </cell>
          <cell r="E986" t="str">
            <v>SF5.623.2.262.128.07.58</v>
          </cell>
        </row>
        <row r="987">
          <cell r="A987" t="str">
            <v>SF562320761</v>
          </cell>
          <cell r="B987" t="str">
            <v>PHP</v>
          </cell>
          <cell r="C987" t="str">
            <v>DLEP</v>
          </cell>
          <cell r="D987" t="str">
            <v xml:space="preserve">MINISTERE DE L'EDUCATION </v>
          </cell>
          <cell r="E987" t="str">
            <v>SF5.623.2.262.128.07.61</v>
          </cell>
        </row>
        <row r="988">
          <cell r="A988" t="str">
            <v>SF562330617</v>
          </cell>
          <cell r="B988" t="str">
            <v>PHP</v>
          </cell>
          <cell r="C988" t="str">
            <v>DLEP</v>
          </cell>
          <cell r="D988" t="str">
            <v xml:space="preserve">MINISTERE DE L'EDUCATION </v>
          </cell>
          <cell r="E988" t="str">
            <v>SF5.623.3.262.128.06.17</v>
          </cell>
        </row>
        <row r="989">
          <cell r="A989" t="str">
            <v>SF562340736</v>
          </cell>
          <cell r="B989" t="str">
            <v>PHP</v>
          </cell>
          <cell r="C989" t="str">
            <v>DLEP</v>
          </cell>
          <cell r="D989" t="str">
            <v xml:space="preserve">MINISTERE DE L'EDUCATION </v>
          </cell>
          <cell r="E989" t="str">
            <v>SF5.623.4.262.128.07.36</v>
          </cell>
        </row>
        <row r="990">
          <cell r="A990" t="str">
            <v>SF562360629</v>
          </cell>
          <cell r="B990" t="str">
            <v>PHP</v>
          </cell>
          <cell r="C990" t="str">
            <v>DLEP</v>
          </cell>
          <cell r="D990" t="str">
            <v xml:space="preserve">MINISTERE DE L'EDUCATION </v>
          </cell>
          <cell r="E990" t="str">
            <v>SF5.623.6.262.128.06.29</v>
          </cell>
        </row>
        <row r="991">
          <cell r="A991" t="str">
            <v>SF562360630</v>
          </cell>
          <cell r="B991" t="str">
            <v>PHP</v>
          </cell>
          <cell r="C991" t="str">
            <v>DLEP</v>
          </cell>
          <cell r="D991" t="str">
            <v xml:space="preserve">MINISTERE DE L'EDUCATION </v>
          </cell>
          <cell r="E991" t="str">
            <v>SF5.623.6.262.128.06.30</v>
          </cell>
        </row>
        <row r="992">
          <cell r="A992" t="str">
            <v>SF562370613</v>
          </cell>
          <cell r="B992" t="str">
            <v>PHP</v>
          </cell>
          <cell r="C992" t="str">
            <v>DLEP</v>
          </cell>
          <cell r="D992" t="str">
            <v xml:space="preserve">MINISTERE DE L'EDUCATION </v>
          </cell>
          <cell r="E992" t="str">
            <v>SF5.623.7.262.128.06.13</v>
          </cell>
        </row>
        <row r="993">
          <cell r="A993" t="str">
            <v>SF562370616</v>
          </cell>
          <cell r="B993" t="str">
            <v>PHP</v>
          </cell>
          <cell r="C993" t="str">
            <v>DLEP</v>
          </cell>
          <cell r="D993" t="str">
            <v xml:space="preserve">MINISTERE DE L'EDUCATION </v>
          </cell>
          <cell r="E993" t="str">
            <v>SF5.623.7.262.128.06.16</v>
          </cell>
        </row>
        <row r="994">
          <cell r="A994" t="str">
            <v>SF562380640</v>
          </cell>
          <cell r="B994" t="str">
            <v>PHP</v>
          </cell>
          <cell r="C994" t="str">
            <v>DLEP</v>
          </cell>
          <cell r="D994" t="str">
            <v xml:space="preserve">MINISTERE DE L'EDUCATION </v>
          </cell>
          <cell r="E994" t="str">
            <v>SF5.623.8.262.128.06.40</v>
          </cell>
        </row>
        <row r="995">
          <cell r="A995" t="str">
            <v>SF562380641</v>
          </cell>
          <cell r="B995" t="str">
            <v>PHP</v>
          </cell>
          <cell r="C995" t="str">
            <v>DLEP</v>
          </cell>
          <cell r="D995" t="str">
            <v xml:space="preserve">MINISTERE DE L'EDUCATION </v>
          </cell>
          <cell r="E995" t="str">
            <v>SF5.623.8.262.128.06.41</v>
          </cell>
        </row>
        <row r="996">
          <cell r="A996" t="str">
            <v>SF562380644</v>
          </cell>
          <cell r="B996" t="str">
            <v>PHP</v>
          </cell>
          <cell r="C996" t="str">
            <v>DLEP</v>
          </cell>
          <cell r="D996" t="str">
            <v xml:space="preserve">MINISTERE DE L'EDUCATION </v>
          </cell>
          <cell r="E996" t="str">
            <v>SF5.623.8.262.128.06.44</v>
          </cell>
        </row>
        <row r="997">
          <cell r="A997" t="str">
            <v>SF562380645</v>
          </cell>
          <cell r="B997" t="str">
            <v>PHP</v>
          </cell>
          <cell r="C997" t="str">
            <v>DLEP</v>
          </cell>
          <cell r="D997" t="str">
            <v xml:space="preserve">MINISTERE DE L'EDUCATION </v>
          </cell>
          <cell r="E997" t="str">
            <v>SF5.623.8.262.128.06.45</v>
          </cell>
        </row>
        <row r="998">
          <cell r="A998" t="str">
            <v>SF562380646</v>
          </cell>
          <cell r="B998" t="str">
            <v>PHP</v>
          </cell>
          <cell r="C998" t="str">
            <v>DLEP</v>
          </cell>
          <cell r="D998" t="str">
            <v xml:space="preserve">MINISTERE DE L'EDUCATION </v>
          </cell>
          <cell r="E998" t="str">
            <v>SF5.623.8.262.128.06.46</v>
          </cell>
        </row>
        <row r="999">
          <cell r="A999" t="str">
            <v>SF562380742</v>
          </cell>
          <cell r="B999" t="str">
            <v>PHP</v>
          </cell>
          <cell r="C999" t="str">
            <v>DLEP</v>
          </cell>
          <cell r="D999" t="str">
            <v xml:space="preserve">MINISTERE DE L'EDUCATION </v>
          </cell>
          <cell r="E999" t="str">
            <v>SF5.623.8.262.128.07.42</v>
          </cell>
        </row>
        <row r="1000">
          <cell r="A1000" t="str">
            <v>SF562380743</v>
          </cell>
          <cell r="B1000" t="str">
            <v>PHP</v>
          </cell>
          <cell r="C1000" t="str">
            <v>DLEP</v>
          </cell>
          <cell r="D1000" t="str">
            <v xml:space="preserve">MINISTERE DE L'EDUCATION </v>
          </cell>
          <cell r="E1000" t="str">
            <v>SF5.623.8.262.128.07.43</v>
          </cell>
        </row>
        <row r="1001">
          <cell r="A1001" t="str">
            <v>SF562430606</v>
          </cell>
          <cell r="B1001" t="str">
            <v>PHP</v>
          </cell>
          <cell r="C1001" t="str">
            <v>DAS</v>
          </cell>
          <cell r="D1001" t="str">
            <v xml:space="preserve">MINISTERE DE LA SOLIDARITE </v>
          </cell>
          <cell r="E1001" t="str">
            <v>SF5.624.3.262.128.06.06</v>
          </cell>
        </row>
        <row r="1002">
          <cell r="A1002" t="str">
            <v>SF563120707</v>
          </cell>
          <cell r="B1002" t="str">
            <v>PHP</v>
          </cell>
          <cell r="C1002" t="str">
            <v>DEFP</v>
          </cell>
          <cell r="D1002" t="str">
            <v xml:space="preserve">MINISTERE DE LA FORMATION </v>
          </cell>
          <cell r="E1002" t="str">
            <v>SF5.631.2.262.128.07.07</v>
          </cell>
        </row>
        <row r="1003">
          <cell r="A1003" t="str">
            <v>SF563160613</v>
          </cell>
          <cell r="B1003" t="str">
            <v>PHP</v>
          </cell>
          <cell r="C1003" t="str">
            <v>DEFP</v>
          </cell>
          <cell r="D1003" t="str">
            <v xml:space="preserve">MINISTERE DE LA FORMATION </v>
          </cell>
          <cell r="E1003" t="str">
            <v>SF5.631.6.262.128.06.13</v>
          </cell>
        </row>
        <row r="1004">
          <cell r="A1004" t="str">
            <v>SF563160615</v>
          </cell>
          <cell r="B1004" t="str">
            <v>PHP</v>
          </cell>
          <cell r="C1004" t="str">
            <v>DEFP</v>
          </cell>
          <cell r="D1004" t="str">
            <v xml:space="preserve">MINISTERE DE LA FORMATION </v>
          </cell>
          <cell r="E1004" t="str">
            <v>SF5.631.6.262.128.06.15</v>
          </cell>
        </row>
        <row r="1005">
          <cell r="A1005" t="str">
            <v>SF563180609</v>
          </cell>
          <cell r="B1005" t="str">
            <v>PHP</v>
          </cell>
          <cell r="C1005" t="str">
            <v>DEFP</v>
          </cell>
          <cell r="D1005" t="str">
            <v xml:space="preserve">MINISTERE DE LA FORMATION </v>
          </cell>
          <cell r="E1005" t="str">
            <v>SF5.631.8.262.128.06.09</v>
          </cell>
        </row>
        <row r="1006">
          <cell r="A1006" t="str">
            <v>SF564380601</v>
          </cell>
          <cell r="B1006" t="str">
            <v>PHP</v>
          </cell>
          <cell r="C1006" t="str">
            <v>DSP</v>
          </cell>
          <cell r="D1006" t="str">
            <v xml:space="preserve">MINISTERE DE LA SANTE </v>
          </cell>
          <cell r="E1006" t="str">
            <v>SF5.643.8.262.128.06.01</v>
          </cell>
        </row>
        <row r="1007">
          <cell r="A1007" t="str">
            <v>SF565280601</v>
          </cell>
          <cell r="B1007" t="str">
            <v>PHP</v>
          </cell>
          <cell r="C1007" t="str">
            <v>DT</v>
          </cell>
          <cell r="D1007" t="str">
            <v>MINISTERE DES TRAVAUX PUBLIC</v>
          </cell>
          <cell r="E1007" t="str">
            <v>SF5.652.8.262.128.06.01</v>
          </cell>
        </row>
        <row r="1008">
          <cell r="A1008" t="str">
            <v>SF565380601</v>
          </cell>
          <cell r="B1008" t="str">
            <v>PHP</v>
          </cell>
          <cell r="C1008" t="str">
            <v>D ENVI</v>
          </cell>
          <cell r="D1008" t="str">
            <v xml:space="preserve">MINISTERE DE L'ENVIRONNOMENT </v>
          </cell>
          <cell r="E1008" t="str">
            <v>SF5.653.8.262.128.06.01</v>
          </cell>
        </row>
        <row r="1009">
          <cell r="A1009" t="str">
            <v>SF572110617</v>
          </cell>
          <cell r="B1009" t="str">
            <v>PHP</v>
          </cell>
          <cell r="C1009" t="str">
            <v xml:space="preserve">DUC </v>
          </cell>
          <cell r="D1009" t="str">
            <v xml:space="preserve">MINISTERE DE L'HABITAT ET DE L'URBANISME </v>
          </cell>
          <cell r="E1009" t="str">
            <v>SF5.721.1.262.128.06.17</v>
          </cell>
        </row>
        <row r="1010">
          <cell r="A1010" t="str">
            <v>SF572110719</v>
          </cell>
          <cell r="B1010" t="str">
            <v>PHP</v>
          </cell>
          <cell r="C1010" t="str">
            <v xml:space="preserve">DUC </v>
          </cell>
          <cell r="D1010" t="str">
            <v xml:space="preserve">MINISTERE DE L'HABITAT ET DE L'URBANISME </v>
          </cell>
          <cell r="E1010" t="str">
            <v>SF5.721.1.262.128.07.19</v>
          </cell>
        </row>
        <row r="1011">
          <cell r="A1011" t="str">
            <v>SF572111057</v>
          </cell>
          <cell r="B1011" t="str">
            <v>PHP</v>
          </cell>
          <cell r="C1011" t="str">
            <v xml:space="preserve">DUC </v>
          </cell>
          <cell r="D1011" t="str">
            <v xml:space="preserve">MINISTERE DE L'HABITAT ET DE L'URBANISME </v>
          </cell>
          <cell r="E1011" t="str">
            <v>SF5.721.1.262.128.10.57</v>
          </cell>
        </row>
        <row r="1012">
          <cell r="A1012" t="str">
            <v>SF572111058</v>
          </cell>
          <cell r="B1012" t="str">
            <v>PHP</v>
          </cell>
          <cell r="C1012" t="str">
            <v xml:space="preserve">DUC </v>
          </cell>
          <cell r="D1012" t="str">
            <v xml:space="preserve">MINISTERE DE L'HABITAT ET DE L'URBANISME </v>
          </cell>
          <cell r="E1012" t="str">
            <v>SF5.721.1.262.128.10.58</v>
          </cell>
        </row>
        <row r="1013">
          <cell r="A1013" t="str">
            <v>SF572291002</v>
          </cell>
          <cell r="B1013" t="str">
            <v>PHP</v>
          </cell>
          <cell r="C1013" t="str">
            <v>OPGI</v>
          </cell>
          <cell r="D1013" t="str">
            <v xml:space="preserve">MINISTERE DE L'HABITAT ET DE L'URBANISME </v>
          </cell>
          <cell r="E1013" t="str">
            <v>SF5.722.9.262.128.10.02</v>
          </cell>
        </row>
        <row r="1014">
          <cell r="A1014" t="str">
            <v>SF572291003</v>
          </cell>
          <cell r="B1014" t="str">
            <v>PHP</v>
          </cell>
          <cell r="C1014" t="str">
            <v xml:space="preserve">OPGI </v>
          </cell>
          <cell r="D1014" t="str">
            <v xml:space="preserve">MINISTERE DE L'HABITAT ET DE L'URBANISME </v>
          </cell>
          <cell r="E1014" t="str">
            <v>SF5.722.9.262.128.10.03</v>
          </cell>
        </row>
        <row r="1015">
          <cell r="A1015" t="str">
            <v>SF573110607</v>
          </cell>
          <cell r="B1015" t="str">
            <v>PHP</v>
          </cell>
          <cell r="C1015" t="str">
            <v>DSP</v>
          </cell>
          <cell r="D1015" t="str">
            <v xml:space="preserve">MINISTERE DE LA SANTE </v>
          </cell>
          <cell r="E1015" t="str">
            <v>SF5.731.1.262.128.06.07</v>
          </cell>
        </row>
        <row r="1016">
          <cell r="A1016" t="str">
            <v>SF573110708</v>
          </cell>
          <cell r="B1016" t="str">
            <v>PHP</v>
          </cell>
          <cell r="C1016" t="str">
            <v>DSP</v>
          </cell>
          <cell r="D1016" t="str">
            <v xml:space="preserve">MINISTERE DE LA SANTE </v>
          </cell>
          <cell r="E1016" t="str">
            <v>SF5.731.1.262.128.07.08</v>
          </cell>
        </row>
        <row r="1017">
          <cell r="A1017" t="str">
            <v>SF573130619</v>
          </cell>
          <cell r="B1017" t="str">
            <v>PHP</v>
          </cell>
          <cell r="C1017" t="str">
            <v>DSP</v>
          </cell>
          <cell r="D1017" t="str">
            <v xml:space="preserve">MINISTERE DE LA SANTE </v>
          </cell>
          <cell r="E1017" t="str">
            <v>SF5.731.3.262.128.06.19</v>
          </cell>
        </row>
        <row r="1018">
          <cell r="A1018" t="str">
            <v>SF573130620</v>
          </cell>
          <cell r="B1018" t="str">
            <v>PHP</v>
          </cell>
          <cell r="C1018" t="str">
            <v>DSP</v>
          </cell>
          <cell r="D1018" t="str">
            <v xml:space="preserve">MINISTERE DE LA SANTE </v>
          </cell>
          <cell r="E1018" t="str">
            <v>SF5.731.3.262.128.06.20</v>
          </cell>
        </row>
        <row r="1019">
          <cell r="A1019" t="str">
            <v>SF573180609</v>
          </cell>
          <cell r="B1019" t="str">
            <v>PHP</v>
          </cell>
          <cell r="C1019" t="str">
            <v>DSP</v>
          </cell>
          <cell r="D1019" t="str">
            <v xml:space="preserve">MINISTERE DE LA SANTE </v>
          </cell>
          <cell r="E1019" t="str">
            <v>SF5.731.8.262.128.06.09</v>
          </cell>
        </row>
        <row r="1020">
          <cell r="A1020" t="str">
            <v>SF573180710</v>
          </cell>
          <cell r="B1020" t="str">
            <v>PHP</v>
          </cell>
          <cell r="C1020" t="str">
            <v>DSP</v>
          </cell>
          <cell r="D1020" t="str">
            <v xml:space="preserve">MINISTERE DE LA SANTE </v>
          </cell>
          <cell r="E1020" t="str">
            <v>SF5.731.8.262.128.07.10</v>
          </cell>
        </row>
        <row r="1021">
          <cell r="A1021" t="str">
            <v>SF573180711</v>
          </cell>
          <cell r="B1021" t="str">
            <v>PHP</v>
          </cell>
          <cell r="C1021" t="str">
            <v>DSP</v>
          </cell>
          <cell r="D1021" t="str">
            <v xml:space="preserve">MINISTERE DE LA SANTE </v>
          </cell>
          <cell r="E1021" t="str">
            <v>SF5.731.8.262.128.07.11</v>
          </cell>
        </row>
        <row r="1022">
          <cell r="A1022" t="str">
            <v>SF573210602</v>
          </cell>
          <cell r="B1022" t="str">
            <v>PHP</v>
          </cell>
          <cell r="C1022" t="str">
            <v>DSP</v>
          </cell>
          <cell r="D1022" t="str">
            <v xml:space="preserve">MINISTERE DE LA SANTE </v>
          </cell>
          <cell r="E1022" t="str">
            <v>SF5.732.1.262.128.06.02</v>
          </cell>
        </row>
        <row r="1023">
          <cell r="A1023" t="str">
            <v>SF573230601</v>
          </cell>
          <cell r="B1023" t="str">
            <v>PHP</v>
          </cell>
          <cell r="C1023" t="str">
            <v>DSP</v>
          </cell>
          <cell r="D1023" t="str">
            <v xml:space="preserve">MINISTERE DE LA SANTE </v>
          </cell>
          <cell r="E1023" t="str">
            <v>SF5.732.3.262.128.06.01</v>
          </cell>
        </row>
        <row r="1024">
          <cell r="A1024" t="str">
            <v>SF573320607</v>
          </cell>
          <cell r="B1024" t="str">
            <v>PHP</v>
          </cell>
          <cell r="C1024" t="str">
            <v>DSP</v>
          </cell>
          <cell r="D1024" t="str">
            <v xml:space="preserve">MINISTERE DE LA SANTE </v>
          </cell>
          <cell r="E1024" t="str">
            <v>SF5.733.2.262.128.06.07</v>
          </cell>
        </row>
        <row r="1025">
          <cell r="A1025" t="str">
            <v>SF573320608</v>
          </cell>
          <cell r="B1025" t="str">
            <v>PHP</v>
          </cell>
          <cell r="C1025" t="str">
            <v>DSP</v>
          </cell>
          <cell r="D1025" t="str">
            <v xml:space="preserve">MINISTERE DE LA SANTE </v>
          </cell>
          <cell r="E1025" t="str">
            <v>SF5.733.2.262.128.06.08</v>
          </cell>
        </row>
        <row r="1026">
          <cell r="A1026" t="str">
            <v>SF573320609</v>
          </cell>
          <cell r="B1026" t="str">
            <v>PHP</v>
          </cell>
          <cell r="C1026" t="str">
            <v>DSP</v>
          </cell>
          <cell r="D1026" t="str">
            <v xml:space="preserve">MINISTERE DE LA SANTE </v>
          </cell>
          <cell r="E1026" t="str">
            <v>SF5.733.2.262.128.06.09</v>
          </cell>
        </row>
        <row r="1027">
          <cell r="A1027" t="str">
            <v>SF573320614</v>
          </cell>
          <cell r="B1027" t="str">
            <v>PHP</v>
          </cell>
          <cell r="C1027" t="str">
            <v>DSP</v>
          </cell>
          <cell r="D1027" t="str">
            <v xml:space="preserve">MINISTERE DE LA SANTE </v>
          </cell>
          <cell r="E1027" t="str">
            <v>SF5.733.2.262.128.06.14</v>
          </cell>
        </row>
        <row r="1028">
          <cell r="A1028" t="str">
            <v>SF573320710</v>
          </cell>
          <cell r="B1028" t="str">
            <v>PHP</v>
          </cell>
          <cell r="C1028" t="str">
            <v>DSP</v>
          </cell>
          <cell r="D1028" t="str">
            <v xml:space="preserve">MINISTERE DE LA SANTE </v>
          </cell>
          <cell r="E1028" t="str">
            <v>SF5.733.2.262.128.07.10</v>
          </cell>
        </row>
        <row r="1029">
          <cell r="A1029" t="str">
            <v>SF573320711</v>
          </cell>
          <cell r="B1029" t="str">
            <v>PHP</v>
          </cell>
          <cell r="C1029" t="str">
            <v>DSP</v>
          </cell>
          <cell r="D1029" t="str">
            <v xml:space="preserve">MINISTERE DE LA SANTE </v>
          </cell>
          <cell r="E1029" t="str">
            <v>SF5.733.2.262.128.07.11</v>
          </cell>
        </row>
        <row r="1030">
          <cell r="A1030" t="str">
            <v>SF573320712</v>
          </cell>
          <cell r="B1030" t="str">
            <v>PHP</v>
          </cell>
          <cell r="C1030" t="str">
            <v>DSP</v>
          </cell>
          <cell r="D1030" t="str">
            <v xml:space="preserve">MINISTERE DE LA SANTE </v>
          </cell>
          <cell r="E1030" t="str">
            <v>SF5.733.2.262.128.07.12</v>
          </cell>
        </row>
        <row r="1031">
          <cell r="A1031" t="str">
            <v>SF573320713</v>
          </cell>
          <cell r="B1031" t="str">
            <v>PHP</v>
          </cell>
          <cell r="C1031" t="str">
            <v>DSP</v>
          </cell>
          <cell r="D1031" t="str">
            <v xml:space="preserve">MINISTERE DE LA SANTE </v>
          </cell>
          <cell r="E1031" t="str">
            <v>SF5.733.2.262.128.07.13</v>
          </cell>
        </row>
        <row r="1032">
          <cell r="A1032" t="str">
            <v>SF573330604</v>
          </cell>
          <cell r="B1032" t="str">
            <v>PHP</v>
          </cell>
          <cell r="C1032" t="str">
            <v>DSP</v>
          </cell>
          <cell r="D1032" t="str">
            <v xml:space="preserve">MINISTERE DE LA SANTE </v>
          </cell>
          <cell r="E1032" t="str">
            <v>SF5.733.3.262.128.06.04</v>
          </cell>
        </row>
        <row r="1033">
          <cell r="A1033" t="str">
            <v>SF574110705</v>
          </cell>
          <cell r="B1033" t="str">
            <v>PHP</v>
          </cell>
          <cell r="C1033" t="str">
            <v xml:space="preserve">DJS </v>
          </cell>
          <cell r="D1033" t="str">
            <v xml:space="preserve">MINISTERE DE LA JEUNESSE ET DES SPORTS </v>
          </cell>
          <cell r="E1033" t="str">
            <v>SF5.741.1.262.128.07.05</v>
          </cell>
        </row>
        <row r="1034">
          <cell r="A1034" t="str">
            <v>SF574180718</v>
          </cell>
          <cell r="B1034" t="str">
            <v>PHP</v>
          </cell>
          <cell r="C1034" t="str">
            <v xml:space="preserve">DJS </v>
          </cell>
          <cell r="D1034" t="str">
            <v xml:space="preserve">MINISTERE DE LA JEUNESSE ET DES SPORTS </v>
          </cell>
          <cell r="E1034" t="str">
            <v>SF5.741.8.262.128.07.18</v>
          </cell>
        </row>
        <row r="1035">
          <cell r="A1035" t="str">
            <v>SF574220610</v>
          </cell>
          <cell r="B1035" t="str">
            <v>PHP</v>
          </cell>
          <cell r="C1035" t="str">
            <v xml:space="preserve">DJS </v>
          </cell>
          <cell r="D1035" t="str">
            <v xml:space="preserve">MINISTERE DE LA JEUNESSE ET DES SPORTS </v>
          </cell>
          <cell r="E1035" t="str">
            <v>SF5.742.2.262.128.06.10</v>
          </cell>
        </row>
        <row r="1036">
          <cell r="A1036" t="str">
            <v>SF574220711</v>
          </cell>
          <cell r="B1036" t="str">
            <v>PHP</v>
          </cell>
          <cell r="C1036" t="str">
            <v xml:space="preserve">DJS </v>
          </cell>
          <cell r="D1036" t="str">
            <v xml:space="preserve">MINISTERE DE LA JEUNESSE ET DES SPORTS </v>
          </cell>
          <cell r="E1036" t="str">
            <v>SF5.742.2.262.128.07.11</v>
          </cell>
        </row>
        <row r="1037">
          <cell r="A1037" t="str">
            <v>SF574220712</v>
          </cell>
          <cell r="B1037" t="str">
            <v>PHP</v>
          </cell>
          <cell r="C1037" t="str">
            <v xml:space="preserve">DJS </v>
          </cell>
          <cell r="D1037" t="str">
            <v xml:space="preserve">MINISTERE DE LA JEUNESSE ET DES SPORTS </v>
          </cell>
          <cell r="E1037" t="str">
            <v>SF5.742.2.262.128.07.12</v>
          </cell>
        </row>
        <row r="1038">
          <cell r="A1038" t="str">
            <v>SF574220714</v>
          </cell>
          <cell r="B1038" t="str">
            <v>PHP</v>
          </cell>
          <cell r="C1038" t="str">
            <v xml:space="preserve">DJS </v>
          </cell>
          <cell r="D1038" t="str">
            <v xml:space="preserve">MINISTERE DE LA JEUNESSE ET DES SPORTS </v>
          </cell>
          <cell r="E1038" t="str">
            <v>SF5.742.2.262.128.07.14</v>
          </cell>
        </row>
        <row r="1039">
          <cell r="A1039" t="str">
            <v>SF574260604</v>
          </cell>
          <cell r="B1039" t="str">
            <v>PHP</v>
          </cell>
          <cell r="C1039" t="str">
            <v xml:space="preserve">DJS </v>
          </cell>
          <cell r="D1039" t="str">
            <v xml:space="preserve">MINISTERE DE LA JEUNESSE ET DES SPORTS </v>
          </cell>
          <cell r="E1039" t="str">
            <v>SF5.742.6.262.128.06.04</v>
          </cell>
        </row>
        <row r="1040">
          <cell r="A1040" t="str">
            <v>SF574260605</v>
          </cell>
          <cell r="B1040" t="str">
            <v>PHP</v>
          </cell>
          <cell r="C1040" t="str">
            <v xml:space="preserve">DJS </v>
          </cell>
          <cell r="D1040" t="str">
            <v xml:space="preserve">MINISTERE DE LA JEUNESSE ET DES SPORTS </v>
          </cell>
          <cell r="E1040" t="str">
            <v>SF5.742.6.262.128.06.05</v>
          </cell>
        </row>
        <row r="1041">
          <cell r="A1041" t="str">
            <v>SF574280611</v>
          </cell>
          <cell r="B1041" t="str">
            <v>PHP</v>
          </cell>
          <cell r="C1041" t="str">
            <v xml:space="preserve">DJS </v>
          </cell>
          <cell r="D1041" t="str">
            <v xml:space="preserve">MINISTERE DE LA JEUNESSE ET DES SPORTS </v>
          </cell>
          <cell r="E1041" t="str">
            <v>SF5.742.8.262.128.06.11</v>
          </cell>
        </row>
        <row r="1042">
          <cell r="A1042" t="str">
            <v>SF574280612</v>
          </cell>
          <cell r="B1042" t="str">
            <v>PHP</v>
          </cell>
          <cell r="C1042" t="str">
            <v xml:space="preserve">DJS </v>
          </cell>
          <cell r="D1042" t="str">
            <v xml:space="preserve">MINISTERE DE LA JEUNESSE ET DES SPORTS </v>
          </cell>
          <cell r="E1042" t="str">
            <v>SF5.742.8.262.128.06.12</v>
          </cell>
        </row>
        <row r="1043">
          <cell r="A1043" t="str">
            <v>SF574280613</v>
          </cell>
          <cell r="B1043" t="str">
            <v>PHP</v>
          </cell>
          <cell r="C1043" t="str">
            <v xml:space="preserve">DJS </v>
          </cell>
          <cell r="D1043" t="str">
            <v xml:space="preserve">MINISTERE DE LA JEUNESSE ET DES SPORTS </v>
          </cell>
          <cell r="E1043" t="str">
            <v>SF5.742.8.262.128.06.13</v>
          </cell>
        </row>
        <row r="1044">
          <cell r="A1044" t="str">
            <v>SF574280614</v>
          </cell>
          <cell r="B1044" t="str">
            <v>PHP</v>
          </cell>
          <cell r="C1044" t="str">
            <v xml:space="preserve">DJS </v>
          </cell>
          <cell r="D1044" t="str">
            <v xml:space="preserve">MINISTERE DE LA JEUNESSE ET DES SPORTS </v>
          </cell>
          <cell r="E1044" t="str">
            <v>SF5.742.8.262.128.06.14</v>
          </cell>
        </row>
        <row r="1045">
          <cell r="A1045" t="str">
            <v>SF574280616</v>
          </cell>
          <cell r="B1045" t="str">
            <v>PHP</v>
          </cell>
          <cell r="C1045" t="str">
            <v xml:space="preserve">DJS </v>
          </cell>
          <cell r="D1045" t="str">
            <v xml:space="preserve">MINISTERE DE LA JEUNESSE ET DES SPORTS </v>
          </cell>
          <cell r="E1045" t="str">
            <v>SF5.742.8.262.128.06.16</v>
          </cell>
        </row>
        <row r="1046">
          <cell r="A1046" t="str">
            <v>SF574280618</v>
          </cell>
          <cell r="B1046" t="str">
            <v>PHP</v>
          </cell>
          <cell r="C1046" t="str">
            <v xml:space="preserve">DJS </v>
          </cell>
          <cell r="D1046" t="str">
            <v xml:space="preserve">MINISTERE DE LA JEUNESSE ET DES SPORTS </v>
          </cell>
          <cell r="E1046" t="str">
            <v>SF5.742.8.262.128.06.18</v>
          </cell>
        </row>
        <row r="1047">
          <cell r="A1047" t="str">
            <v>SF574280619</v>
          </cell>
          <cell r="B1047" t="str">
            <v>PHP</v>
          </cell>
          <cell r="C1047" t="str">
            <v xml:space="preserve">DJS </v>
          </cell>
          <cell r="D1047" t="str">
            <v xml:space="preserve">MINISTERE DE LA JEUNESSE ET DES SPORTS </v>
          </cell>
          <cell r="E1047" t="str">
            <v>SF5.742.8.262.128.06.19</v>
          </cell>
        </row>
        <row r="1048">
          <cell r="A1048" t="str">
            <v>SF574280620</v>
          </cell>
          <cell r="B1048" t="str">
            <v>PHP</v>
          </cell>
          <cell r="C1048" t="str">
            <v xml:space="preserve">DJS </v>
          </cell>
          <cell r="D1048" t="str">
            <v xml:space="preserve">MINISTERE DE LA JEUNESSE ET DES SPORTS </v>
          </cell>
          <cell r="E1048" t="str">
            <v>SF5.742.8.262.128.06.20</v>
          </cell>
        </row>
        <row r="1049">
          <cell r="A1049" t="str">
            <v>SF574280622</v>
          </cell>
          <cell r="B1049" t="str">
            <v>PHP</v>
          </cell>
          <cell r="C1049" t="str">
            <v xml:space="preserve">DJS </v>
          </cell>
          <cell r="D1049" t="str">
            <v xml:space="preserve">MINISTERE DE LA JEUNESSE ET DES SPORTS </v>
          </cell>
          <cell r="E1049" t="str">
            <v>SF5.742.8.262.128.06.22</v>
          </cell>
        </row>
        <row r="1050">
          <cell r="A1050" t="str">
            <v>SF574280624</v>
          </cell>
          <cell r="B1050" t="str">
            <v>PHP</v>
          </cell>
          <cell r="C1050" t="str">
            <v xml:space="preserve">DJS </v>
          </cell>
          <cell r="D1050" t="str">
            <v xml:space="preserve">MINISTERE DE LA JEUNESSE ET DES SPORTS </v>
          </cell>
          <cell r="E1050" t="str">
            <v>SF5.742.8.262.128.06.24</v>
          </cell>
        </row>
        <row r="1051">
          <cell r="A1051" t="str">
            <v>SF574280723</v>
          </cell>
          <cell r="B1051" t="str">
            <v>PHP</v>
          </cell>
          <cell r="C1051" t="str">
            <v xml:space="preserve">DJS </v>
          </cell>
          <cell r="D1051" t="str">
            <v xml:space="preserve">MINISTERE DE LA JEUNESSE ET DES SPORTS </v>
          </cell>
          <cell r="E1051" t="str">
            <v>SF5.742.8.262.128.07.23</v>
          </cell>
        </row>
        <row r="1052">
          <cell r="A1052" t="str">
            <v>SF574280725</v>
          </cell>
          <cell r="B1052" t="str">
            <v>PHP</v>
          </cell>
          <cell r="C1052" t="str">
            <v xml:space="preserve">DJS </v>
          </cell>
          <cell r="D1052" t="str">
            <v xml:space="preserve">MINISTERE DE LA JEUNESSE ET DES SPORTS </v>
          </cell>
          <cell r="E1052" t="str">
            <v>SF5.742.8.262.128.07.25</v>
          </cell>
        </row>
        <row r="1053">
          <cell r="A1053" t="str">
            <v>SF574280729</v>
          </cell>
          <cell r="B1053" t="str">
            <v>PHP</v>
          </cell>
          <cell r="C1053" t="str">
            <v xml:space="preserve">DJS </v>
          </cell>
          <cell r="D1053" t="str">
            <v xml:space="preserve">MINISTERE DE LA JEUNESSE ET DES SPORTS </v>
          </cell>
          <cell r="E1053" t="str">
            <v>SF5.742.8.262.128.07.29</v>
          </cell>
        </row>
        <row r="1054">
          <cell r="A1054" t="str">
            <v>SF5752--07--</v>
          </cell>
          <cell r="B1054" t="str">
            <v>PHP</v>
          </cell>
          <cell r="C1054" t="str">
            <v>DCW</v>
          </cell>
          <cell r="D1054" t="str">
            <v xml:space="preserve">MINISTERE DE LA CULTURE </v>
          </cell>
          <cell r="E1054" t="str">
            <v>SF5.752.--.262.128.07.--</v>
          </cell>
        </row>
        <row r="1055">
          <cell r="A1055" t="str">
            <v>SF575210603</v>
          </cell>
          <cell r="B1055" t="str">
            <v>PHP</v>
          </cell>
          <cell r="C1055" t="str">
            <v>DCW</v>
          </cell>
          <cell r="D1055" t="str">
            <v xml:space="preserve">MINISTERE DE LA CULTURE </v>
          </cell>
          <cell r="E1055" t="str">
            <v>SF5.752.1.262.128.06.03</v>
          </cell>
        </row>
        <row r="1056">
          <cell r="A1056" t="str">
            <v>SF575210604</v>
          </cell>
          <cell r="B1056" t="str">
            <v>PHP</v>
          </cell>
          <cell r="C1056" t="str">
            <v>DCW</v>
          </cell>
          <cell r="D1056" t="str">
            <v xml:space="preserve">MINISTERE DE LA CULTURE </v>
          </cell>
          <cell r="E1056" t="str">
            <v>SF5.752.1.262.128.06.04</v>
          </cell>
        </row>
        <row r="1057">
          <cell r="A1057" t="str">
            <v>SF575210605</v>
          </cell>
          <cell r="B1057" t="str">
            <v>PHP</v>
          </cell>
          <cell r="C1057" t="str">
            <v>DCW</v>
          </cell>
          <cell r="D1057" t="str">
            <v xml:space="preserve">MINISTERE DE LA CULTURE </v>
          </cell>
          <cell r="E1057" t="str">
            <v>SF5.752.1.262.128.06.05</v>
          </cell>
        </row>
        <row r="1058">
          <cell r="A1058" t="str">
            <v>SF575230602</v>
          </cell>
          <cell r="B1058" t="str">
            <v>PHP</v>
          </cell>
          <cell r="C1058" t="str">
            <v>DCW</v>
          </cell>
          <cell r="D1058" t="str">
            <v xml:space="preserve">MINISTERE DE LA CULTURE </v>
          </cell>
          <cell r="E1058" t="str">
            <v>SF5.752.3.262.128.06.02</v>
          </cell>
        </row>
        <row r="1059">
          <cell r="A1059" t="str">
            <v>SF575230603</v>
          </cell>
          <cell r="B1059" t="str">
            <v>PHP</v>
          </cell>
          <cell r="C1059" t="str">
            <v>DCW</v>
          </cell>
          <cell r="D1059" t="str">
            <v xml:space="preserve">MINISTERE DE LA CULTURE </v>
          </cell>
          <cell r="E1059" t="str">
            <v>SF5.752.3.262.128.06.03</v>
          </cell>
        </row>
        <row r="1060">
          <cell r="A1060" t="str">
            <v>SF575230604</v>
          </cell>
          <cell r="B1060" t="str">
            <v>PHP</v>
          </cell>
          <cell r="C1060" t="str">
            <v>DCW</v>
          </cell>
          <cell r="D1060" t="str">
            <v xml:space="preserve">MINISTERE DE LA CULTURE </v>
          </cell>
          <cell r="E1060" t="str">
            <v>SF5.752.3.262.128.06.04</v>
          </cell>
        </row>
        <row r="1061">
          <cell r="A1061" t="str">
            <v>SF575230605</v>
          </cell>
          <cell r="B1061" t="str">
            <v>PHP</v>
          </cell>
          <cell r="C1061" t="str">
            <v>DCW</v>
          </cell>
          <cell r="D1061" t="str">
            <v xml:space="preserve">MINISTERE DE LA CULTURE </v>
          </cell>
          <cell r="E1061" t="str">
            <v>SF5.752.3.262.128.06.05</v>
          </cell>
        </row>
        <row r="1062">
          <cell r="A1062" t="str">
            <v>SF575230607</v>
          </cell>
          <cell r="B1062" t="str">
            <v>PHP</v>
          </cell>
          <cell r="C1062" t="str">
            <v>DCW</v>
          </cell>
          <cell r="D1062" t="str">
            <v xml:space="preserve">MINISTERE DE LA CULTURE </v>
          </cell>
          <cell r="E1062" t="str">
            <v>SF5.752.3.262.128.06.07</v>
          </cell>
        </row>
        <row r="1063">
          <cell r="A1063" t="str">
            <v>SF575230608</v>
          </cell>
          <cell r="B1063" t="str">
            <v>PHP</v>
          </cell>
          <cell r="C1063" t="str">
            <v>DCW</v>
          </cell>
          <cell r="D1063" t="str">
            <v xml:space="preserve">MINISTERE DE LA CULTURE </v>
          </cell>
          <cell r="E1063" t="str">
            <v>SF5.752.3.262.128.06.08</v>
          </cell>
        </row>
        <row r="1064">
          <cell r="A1064" t="str">
            <v>SF575230609</v>
          </cell>
          <cell r="B1064" t="str">
            <v>PHP</v>
          </cell>
          <cell r="C1064" t="str">
            <v>DCW</v>
          </cell>
          <cell r="D1064" t="str">
            <v xml:space="preserve">MINISTERE DE LA CULTURE </v>
          </cell>
          <cell r="E1064" t="str">
            <v>SF5.752.3.262.128.06.09</v>
          </cell>
        </row>
        <row r="1065">
          <cell r="A1065" t="str">
            <v>SF575230610</v>
          </cell>
          <cell r="B1065" t="str">
            <v>PHP</v>
          </cell>
          <cell r="C1065" t="str">
            <v>DCW</v>
          </cell>
          <cell r="D1065" t="str">
            <v xml:space="preserve">MINISTERE DE LA CULTURE </v>
          </cell>
          <cell r="E1065" t="str">
            <v>SF5.752.3.262.128.06.10</v>
          </cell>
        </row>
        <row r="1066">
          <cell r="A1066" t="str">
            <v>SF575230611</v>
          </cell>
          <cell r="B1066" t="str">
            <v>PHP</v>
          </cell>
          <cell r="C1066" t="str">
            <v>DCW</v>
          </cell>
          <cell r="D1066" t="str">
            <v xml:space="preserve">MINISTERE DE LA CULTURE </v>
          </cell>
          <cell r="E1066" t="str">
            <v>SF5.752.3.262.128.06.11</v>
          </cell>
        </row>
        <row r="1067">
          <cell r="A1067" t="str">
            <v>SF575230614</v>
          </cell>
          <cell r="B1067" t="str">
            <v>PHP</v>
          </cell>
          <cell r="C1067" t="str">
            <v>DCW</v>
          </cell>
          <cell r="D1067" t="str">
            <v xml:space="preserve">MINISTERE DE LA CULTURE </v>
          </cell>
          <cell r="E1067" t="str">
            <v>SF5.752.3.262.128.06.14</v>
          </cell>
        </row>
        <row r="1068">
          <cell r="A1068" t="str">
            <v>SF575230615</v>
          </cell>
          <cell r="B1068" t="str">
            <v>PHP</v>
          </cell>
          <cell r="C1068" t="str">
            <v>DCW</v>
          </cell>
          <cell r="D1068" t="str">
            <v xml:space="preserve">MINISTERE DE LA CULTURE </v>
          </cell>
          <cell r="E1068" t="str">
            <v>SF5.752.3.262.128.06.15</v>
          </cell>
        </row>
        <row r="1069">
          <cell r="A1069" t="str">
            <v>SF575230706</v>
          </cell>
          <cell r="B1069" t="str">
            <v>PHP</v>
          </cell>
          <cell r="C1069" t="str">
            <v>DCW</v>
          </cell>
          <cell r="D1069" t="str">
            <v xml:space="preserve">MINISTERE DE LA CULTURE </v>
          </cell>
          <cell r="E1069" t="str">
            <v>SF5.752.3.262.128.07.06</v>
          </cell>
        </row>
        <row r="1070">
          <cell r="A1070" t="str">
            <v>SF575230712</v>
          </cell>
          <cell r="B1070" t="str">
            <v>PHP</v>
          </cell>
          <cell r="C1070" t="str">
            <v>DCW</v>
          </cell>
          <cell r="D1070" t="str">
            <v xml:space="preserve">MINISTERE DE LA CULTURE </v>
          </cell>
          <cell r="E1070" t="str">
            <v>SF5.752.3.262.128.07.12</v>
          </cell>
        </row>
        <row r="1071">
          <cell r="A1071" t="str">
            <v>SF575230713</v>
          </cell>
          <cell r="B1071" t="str">
            <v>PHP</v>
          </cell>
          <cell r="C1071" t="str">
            <v>DCW</v>
          </cell>
          <cell r="D1071" t="str">
            <v xml:space="preserve">MINISTERE DE LA CULTURE </v>
          </cell>
          <cell r="E1071" t="str">
            <v>SF5.752.3.262.128.07.13</v>
          </cell>
        </row>
        <row r="1072">
          <cell r="A1072" t="str">
            <v>SF575230716</v>
          </cell>
          <cell r="B1072" t="str">
            <v>PHP</v>
          </cell>
          <cell r="C1072" t="str">
            <v>DCW</v>
          </cell>
          <cell r="D1072" t="str">
            <v xml:space="preserve">MINISTERE DE LA CULTURE </v>
          </cell>
          <cell r="E1072" t="str">
            <v>SF5.752.3.262.128.07.16</v>
          </cell>
        </row>
        <row r="1073">
          <cell r="A1073" t="str">
            <v>SF575230717</v>
          </cell>
          <cell r="B1073" t="str">
            <v>PHP</v>
          </cell>
          <cell r="C1073" t="str">
            <v>DCW</v>
          </cell>
          <cell r="D1073" t="str">
            <v xml:space="preserve">MINISTERE DE LA CULTURE </v>
          </cell>
          <cell r="E1073" t="str">
            <v>SF5.752.3.262.128.07.17</v>
          </cell>
        </row>
        <row r="1074">
          <cell r="A1074" t="str">
            <v>SF575230718</v>
          </cell>
          <cell r="B1074" t="str">
            <v>PHP</v>
          </cell>
          <cell r="C1074" t="str">
            <v>DCW</v>
          </cell>
          <cell r="D1074" t="str">
            <v xml:space="preserve">MINISTERE DE LA CULTURE </v>
          </cell>
          <cell r="E1074" t="str">
            <v>SF5.752.3.262.128.07.18</v>
          </cell>
        </row>
        <row r="1075">
          <cell r="A1075" t="str">
            <v>SF575250603</v>
          </cell>
          <cell r="B1075" t="str">
            <v>PHP</v>
          </cell>
          <cell r="C1075" t="str">
            <v>DCW</v>
          </cell>
          <cell r="D1075" t="str">
            <v xml:space="preserve">MINISTERE DE LA CULTURE </v>
          </cell>
          <cell r="E1075" t="str">
            <v>SF5.752.5.262.128.06.03</v>
          </cell>
        </row>
        <row r="1076">
          <cell r="A1076" t="str">
            <v>SF575250704</v>
          </cell>
          <cell r="B1076" t="str">
            <v>PHP</v>
          </cell>
          <cell r="C1076" t="str">
            <v>DCW</v>
          </cell>
          <cell r="D1076" t="str">
            <v xml:space="preserve">MINISTERE DE LA CULTURE </v>
          </cell>
          <cell r="E1076" t="str">
            <v>SF5.752.5.262.128.07.04</v>
          </cell>
        </row>
        <row r="1077">
          <cell r="A1077" t="str">
            <v>SF575280603</v>
          </cell>
          <cell r="B1077" t="str">
            <v>PHP</v>
          </cell>
          <cell r="C1077" t="str">
            <v>DCW</v>
          </cell>
          <cell r="D1077" t="str">
            <v xml:space="preserve">MINISTERE DE LA CULTURE </v>
          </cell>
          <cell r="E1077" t="str">
            <v>SF5.752.8.262.128.06.03</v>
          </cell>
        </row>
        <row r="1078">
          <cell r="A1078" t="str">
            <v>SF575280604</v>
          </cell>
          <cell r="B1078" t="str">
            <v>PHP</v>
          </cell>
          <cell r="C1078" t="str">
            <v>DCW</v>
          </cell>
          <cell r="D1078" t="str">
            <v xml:space="preserve">MINISTERE DE LA CULTURE </v>
          </cell>
          <cell r="E1078" t="str">
            <v>SF5.752.8.262.128.06.04</v>
          </cell>
        </row>
        <row r="1079">
          <cell r="A1079" t="str">
            <v>SF575280605</v>
          </cell>
          <cell r="B1079" t="str">
            <v>PHP</v>
          </cell>
          <cell r="C1079" t="str">
            <v>DCW</v>
          </cell>
          <cell r="D1079" t="str">
            <v xml:space="preserve">MINISTERE DE LA CULTURE </v>
          </cell>
          <cell r="E1079" t="str">
            <v>SF5.752.8.262.128.06.05</v>
          </cell>
        </row>
        <row r="1080">
          <cell r="A1080" t="str">
            <v>SF575280611</v>
          </cell>
          <cell r="B1080" t="str">
            <v>PHP</v>
          </cell>
          <cell r="C1080" t="str">
            <v>DCW</v>
          </cell>
          <cell r="D1080" t="str">
            <v xml:space="preserve">MINISTERE DE LA CULTURE </v>
          </cell>
          <cell r="E1080" t="str">
            <v>SF5.752.8.262.128.06.11</v>
          </cell>
        </row>
        <row r="1081">
          <cell r="A1081" t="str">
            <v>SF575280706</v>
          </cell>
          <cell r="B1081" t="str">
            <v>PHP</v>
          </cell>
          <cell r="C1081" t="str">
            <v>DCW</v>
          </cell>
          <cell r="D1081" t="str">
            <v xml:space="preserve">MINISTERE DE LA CULTURE </v>
          </cell>
          <cell r="E1081" t="str">
            <v>SF5.752.8.262.128.07.06</v>
          </cell>
        </row>
        <row r="1082">
          <cell r="A1082" t="str">
            <v>SF576180601</v>
          </cell>
          <cell r="B1082" t="str">
            <v>PHP</v>
          </cell>
          <cell r="C1082" t="str">
            <v>D MOUD</v>
          </cell>
          <cell r="D1082" t="str">
            <v>MINISTERE DES MODJAHIDINNE</v>
          </cell>
          <cell r="E1082" t="str">
            <v>SF5.761.8.262.128.06.01</v>
          </cell>
        </row>
        <row r="1083">
          <cell r="A1083" t="str">
            <v>SF576210602</v>
          </cell>
          <cell r="B1083" t="str">
            <v>PHP</v>
          </cell>
          <cell r="C1083" t="str">
            <v>DLEP</v>
          </cell>
          <cell r="D1083" t="str">
            <v xml:space="preserve">MINISTERE DES AFFAIRES RELIGIEUSES </v>
          </cell>
          <cell r="E1083" t="str">
            <v>SF5.762.1.262.128.06.02</v>
          </cell>
        </row>
        <row r="1084">
          <cell r="A1084" t="str">
            <v>SF576480606</v>
          </cell>
          <cell r="B1084" t="str">
            <v>PHP</v>
          </cell>
          <cell r="C1084" t="str">
            <v>DAS</v>
          </cell>
          <cell r="D1084" t="str">
            <v xml:space="preserve">MINISTERE DE LA SOLIDARITE </v>
          </cell>
          <cell r="E1084" t="str">
            <v>SF5.764.8.262.128.06.06</v>
          </cell>
        </row>
        <row r="1085">
          <cell r="A1085" t="str">
            <v>SF581310601</v>
          </cell>
          <cell r="B1085" t="str">
            <v>PHP</v>
          </cell>
          <cell r="C1085" t="str">
            <v>DT</v>
          </cell>
          <cell r="D1085" t="str">
            <v>MINISTERE DES TRAVAUX PUBLIC</v>
          </cell>
          <cell r="E1085" t="str">
            <v>SF5.813.1.262.128.06.01</v>
          </cell>
        </row>
        <row r="1086">
          <cell r="A1086" t="str">
            <v>SF583160704</v>
          </cell>
          <cell r="B1086" t="str">
            <v>PHP</v>
          </cell>
          <cell r="C1086" t="str">
            <v>DAL</v>
          </cell>
          <cell r="D1086" t="str">
            <v xml:space="preserve">MINISTERE DE L'INTERIEUR </v>
          </cell>
          <cell r="E1086" t="str">
            <v>SF5.831.6.262.128.07.04</v>
          </cell>
        </row>
        <row r="1087">
          <cell r="A1087" t="str">
            <v>SF583160705</v>
          </cell>
          <cell r="B1087" t="str">
            <v>PHP</v>
          </cell>
          <cell r="C1087" t="str">
            <v>DAL</v>
          </cell>
          <cell r="D1087" t="str">
            <v xml:space="preserve">MINISTERE DE L'INTERIEUR </v>
          </cell>
          <cell r="E1087" t="str">
            <v>SF5.831.6.262.128.07.05</v>
          </cell>
        </row>
        <row r="1088">
          <cell r="A1088" t="str">
            <v>SF585320602</v>
          </cell>
          <cell r="B1088" t="str">
            <v>PHP</v>
          </cell>
          <cell r="C1088" t="str">
            <v>DLEP</v>
          </cell>
          <cell r="D1088" t="str">
            <v xml:space="preserve">MINISTERE DE LA JUSTICE </v>
          </cell>
          <cell r="E1088" t="str">
            <v>SF5.853.2.262.128.06.02</v>
          </cell>
        </row>
        <row r="1089">
          <cell r="A1089" t="str">
            <v>SF585320604</v>
          </cell>
          <cell r="B1089" t="str">
            <v>PHP</v>
          </cell>
          <cell r="C1089" t="str">
            <v>DLEP</v>
          </cell>
          <cell r="D1089" t="str">
            <v xml:space="preserve">MINISTERE DE LA JUSTICE </v>
          </cell>
          <cell r="E1089" t="str">
            <v>SF5.853.2.262.128.06.04</v>
          </cell>
        </row>
        <row r="1090">
          <cell r="A1090" t="str">
            <v>SF585330703</v>
          </cell>
          <cell r="B1090" t="str">
            <v>PHP</v>
          </cell>
          <cell r="C1090" t="str">
            <v>DLEP</v>
          </cell>
          <cell r="D1090" t="str">
            <v xml:space="preserve">MINISTERE DE LA JUSTICE </v>
          </cell>
          <cell r="E1090" t="str">
            <v>SF5.853.3.262.128.07.03</v>
          </cell>
        </row>
        <row r="1091">
          <cell r="A1091" t="str">
            <v>SF585360601</v>
          </cell>
          <cell r="B1091" t="str">
            <v>PHP</v>
          </cell>
          <cell r="C1091" t="str">
            <v>DLEP</v>
          </cell>
          <cell r="D1091" t="str">
            <v xml:space="preserve">MINISTERE DE LA JUSTICE </v>
          </cell>
          <cell r="E1091" t="str">
            <v>SF5.853.6.262.128.06.01</v>
          </cell>
        </row>
        <row r="1092">
          <cell r="A1092" t="str">
            <v>SF585360602</v>
          </cell>
          <cell r="B1092" t="str">
            <v>PHP</v>
          </cell>
          <cell r="C1092" t="str">
            <v>DLEP</v>
          </cell>
          <cell r="D1092" t="str">
            <v xml:space="preserve">MINISTERE DE LA JUSTICE </v>
          </cell>
          <cell r="E1092" t="str">
            <v>SF5.853.6.262.128.06.02</v>
          </cell>
        </row>
        <row r="1093">
          <cell r="A1093" t="str">
            <v>SF585380602</v>
          </cell>
          <cell r="B1093" t="str">
            <v>PHP</v>
          </cell>
          <cell r="C1093" t="str">
            <v>DLEP</v>
          </cell>
          <cell r="D1093" t="str">
            <v xml:space="preserve">MINISTERE DE LA JUSTICE </v>
          </cell>
          <cell r="E1093" t="str">
            <v>SF5.853.8.262.128.06.02</v>
          </cell>
        </row>
        <row r="1094">
          <cell r="A1094" t="str">
            <v>SF585380603</v>
          </cell>
          <cell r="B1094" t="str">
            <v>PHP</v>
          </cell>
          <cell r="C1094" t="str">
            <v>DLEP</v>
          </cell>
          <cell r="D1094" t="str">
            <v xml:space="preserve">MINISTERE DE LA JUSTICE </v>
          </cell>
          <cell r="E1094" t="str">
            <v>SF5.853.8.262.128.06.03</v>
          </cell>
        </row>
        <row r="1095">
          <cell r="A1095" t="str">
            <v>SF585380604</v>
          </cell>
          <cell r="B1095" t="str">
            <v>PHP</v>
          </cell>
          <cell r="C1095" t="str">
            <v>DLEP</v>
          </cell>
          <cell r="D1095" t="str">
            <v xml:space="preserve">MINISTERE DE LA JUSTICE </v>
          </cell>
          <cell r="E1095" t="str">
            <v>SF5.853.8.262.128.06.04</v>
          </cell>
        </row>
        <row r="1096">
          <cell r="A1096" t="str">
            <v>SF585380701</v>
          </cell>
          <cell r="B1096" t="str">
            <v>PHP</v>
          </cell>
          <cell r="C1096" t="str">
            <v>DLEP</v>
          </cell>
          <cell r="D1096" t="str">
            <v xml:space="preserve">MINISTERE DE LA JUSTICE </v>
          </cell>
          <cell r="E1096" t="str">
            <v>SF5.853.8.262.128.07.01</v>
          </cell>
        </row>
        <row r="1097">
          <cell r="A1097" t="str">
            <v>SF585420604</v>
          </cell>
          <cell r="B1097" t="str">
            <v>PHP</v>
          </cell>
          <cell r="C1097" t="str">
            <v>DLEP</v>
          </cell>
          <cell r="D1097" t="str">
            <v xml:space="preserve">MINISTERE DE L'INTERIEUR </v>
          </cell>
          <cell r="E1097" t="str">
            <v>SF5.854.2.262.128.06.04</v>
          </cell>
        </row>
        <row r="1098">
          <cell r="A1098" t="str">
            <v>SF585420605</v>
          </cell>
          <cell r="B1098" t="str">
            <v>PHP</v>
          </cell>
          <cell r="C1098" t="str">
            <v>DLEP</v>
          </cell>
          <cell r="D1098" t="str">
            <v xml:space="preserve">MINISTERE DE L'INTERIEUR </v>
          </cell>
          <cell r="E1098" t="str">
            <v>SF5.854.2.262.128.06.05</v>
          </cell>
        </row>
        <row r="1099">
          <cell r="A1099" t="str">
            <v>NF583420508</v>
          </cell>
          <cell r="B1099" t="str">
            <v>PCSC</v>
          </cell>
          <cell r="C1099" t="str">
            <v>DAL</v>
          </cell>
          <cell r="D1099" t="str">
            <v xml:space="preserve">MINISTERE DU COMMERCE </v>
          </cell>
          <cell r="E1099" t="str">
            <v>NF5.834.2.262.128.05.08</v>
          </cell>
          <cell r="F1099" t="str">
            <v>Etude, réalisation et équipt siège de Direction Commerce + Logt. (PSCE 2005)</v>
          </cell>
        </row>
        <row r="1100">
          <cell r="A1100" t="str">
            <v>NF583420509</v>
          </cell>
          <cell r="B1100" t="str">
            <v>PCSC</v>
          </cell>
          <cell r="C1100" t="str">
            <v xml:space="preserve">DUC </v>
          </cell>
          <cell r="D1100" t="str">
            <v xml:space="preserve">MINISTERE DE L'EDUCATION </v>
          </cell>
          <cell r="E1100" t="str">
            <v>NF5.834.2.262.128.05.09</v>
          </cell>
          <cell r="F1100" t="str">
            <v>Réalisation et équipement siège de Direction de l' Education avec logt de fonction à M'sila  (PSCE 2005)</v>
          </cell>
        </row>
        <row r="1101">
          <cell r="A1101" t="str">
            <v>NF583420510</v>
          </cell>
          <cell r="B1101" t="str">
            <v>PCSC</v>
          </cell>
          <cell r="C1101" t="str">
            <v xml:space="preserve">DUC </v>
          </cell>
          <cell r="D1101" t="str">
            <v xml:space="preserve">MINISTERE DE LA PME </v>
          </cell>
          <cell r="E1101" t="str">
            <v>NF5.834.2.262.128.05.10</v>
          </cell>
          <cell r="F1101" t="str">
            <v>Etude, réalisation et équipt siège de Direction PME (PSCE 2005)</v>
          </cell>
        </row>
        <row r="1102">
          <cell r="A1102" t="str">
            <v>NF583420511</v>
          </cell>
          <cell r="B1102" t="str">
            <v>PCSC</v>
          </cell>
          <cell r="C1102" t="str">
            <v xml:space="preserve">DUC </v>
          </cell>
          <cell r="D1102" t="str">
            <v xml:space="preserve">MINISTERE DES FINANCES  </v>
          </cell>
          <cell r="E1102" t="str">
            <v>NF5.834.2.262.128.05.11</v>
          </cell>
          <cell r="F1102" t="str">
            <v>Réalisation et équipement siège de Direction de la Planification avec logt.</v>
          </cell>
        </row>
        <row r="1103">
          <cell r="A1103" t="str">
            <v>NF583420512</v>
          </cell>
          <cell r="B1103" t="str">
            <v>PCSC</v>
          </cell>
          <cell r="C1103" t="str">
            <v xml:space="preserve">DUC </v>
          </cell>
          <cell r="D1103" t="str">
            <v xml:space="preserve">MINISTERE DE L'ENVIRONNEMENT </v>
          </cell>
          <cell r="E1103" t="str">
            <v>NF5.834.2.262.128.05.12</v>
          </cell>
          <cell r="F1103" t="str">
            <v>Réalisation siège de Direction de l'Environnement (PSCE 2005)</v>
          </cell>
        </row>
        <row r="1104">
          <cell r="A1104" t="str">
            <v>NF583420613</v>
          </cell>
          <cell r="B1104" t="str">
            <v>PCSC</v>
          </cell>
          <cell r="C1104" t="str">
            <v>DLEP</v>
          </cell>
          <cell r="D1104" t="str">
            <v xml:space="preserve">MINISTERE DE L'HABITAT ET URBANISME </v>
          </cell>
          <cell r="E1104" t="str">
            <v>NF5.834.2.262.128.06.13</v>
          </cell>
          <cell r="F1104" t="str">
            <v>Réalisation Subdivision de l'habitat Magra (PSCE 2005)</v>
          </cell>
        </row>
        <row r="1105">
          <cell r="A1105" t="str">
            <v>NF583420614</v>
          </cell>
          <cell r="B1105" t="str">
            <v>PCSC</v>
          </cell>
          <cell r="C1105" t="str">
            <v xml:space="preserve">DUC </v>
          </cell>
          <cell r="D1105" t="str">
            <v xml:space="preserve">MINISTERE DES MODJAHDINNE </v>
          </cell>
          <cell r="E1105" t="str">
            <v>NF5.834.2.262.128.06.14</v>
          </cell>
          <cell r="F1105" t="str">
            <v>Etude, réalis. et équipt. siège D.Moudj. + logt. (PSCE -  LFC 2006)</v>
          </cell>
        </row>
        <row r="1106">
          <cell r="A1106" t="str">
            <v>NF583420616</v>
          </cell>
          <cell r="B1106" t="str">
            <v>PCSC</v>
          </cell>
          <cell r="C1106" t="str">
            <v xml:space="preserve">DUC </v>
          </cell>
          <cell r="D1106" t="str">
            <v xml:space="preserve">MINISTERE DU TRAVAIL </v>
          </cell>
          <cell r="E1106" t="str">
            <v>NF5.834.2.262.128.06.16</v>
          </cell>
          <cell r="F1106" t="str">
            <v xml:space="preserve">Etude, réalis. Et équipement siege inspection travail avec logt. M'sila </v>
          </cell>
        </row>
        <row r="1107">
          <cell r="A1107" t="str">
            <v>NF583420618</v>
          </cell>
          <cell r="B1107" t="str">
            <v>PCSC</v>
          </cell>
          <cell r="C1107" t="str">
            <v xml:space="preserve">DUC </v>
          </cell>
          <cell r="D1107" t="str">
            <v xml:space="preserve">MINISTERE DE L'ENSEIGNEMENT SUPERIEUR </v>
          </cell>
          <cell r="E1107" t="str">
            <v>NF5.834.2.262.128.06.18</v>
          </cell>
          <cell r="F1107" t="str">
            <v>Etude, réalis. et équipt. siège D.O.U  (PSCE -  LFC 2006)</v>
          </cell>
        </row>
        <row r="1108">
          <cell r="A1108" t="str">
            <v>NF583420720</v>
          </cell>
          <cell r="B1108" t="str">
            <v>PCSC</v>
          </cell>
          <cell r="C1108" t="str">
            <v>DLEP</v>
          </cell>
          <cell r="D1108" t="str">
            <v xml:space="preserve">MINISTERE DES FINANCES  </v>
          </cell>
          <cell r="E1108" t="str">
            <v>NF5.834.2.262.128.07.20</v>
          </cell>
          <cell r="F1108" t="str">
            <v>Etude, suivi  et réalis. D' 1 centre de proximité des impots à S-aissa ( Décentralisée)</v>
          </cell>
        </row>
        <row r="1109">
          <cell r="A1109" t="str">
            <v>NF583420721</v>
          </cell>
          <cell r="B1109" t="str">
            <v>PCSC</v>
          </cell>
          <cell r="C1109" t="str">
            <v>DLEP</v>
          </cell>
          <cell r="D1109" t="str">
            <v xml:space="preserve">MINISTERE DES FINANCES  </v>
          </cell>
          <cell r="E1109" t="str">
            <v>NF5.834.2.262.128.07.21</v>
          </cell>
          <cell r="F1109" t="str">
            <v>Etude, suivi  et réalis. D' 1 centre de proximité des impots à B-saada ( Décentralisée)</v>
          </cell>
        </row>
        <row r="1110">
          <cell r="A1110" t="str">
            <v>NF583420724</v>
          </cell>
          <cell r="B1110" t="str">
            <v>PCSC</v>
          </cell>
          <cell r="C1110" t="str">
            <v>DLEP</v>
          </cell>
          <cell r="D1110" t="str">
            <v xml:space="preserve">MINISTERE DES FINANCES  </v>
          </cell>
          <cell r="E1110" t="str">
            <v>NF5.834.2.262.128.07.24</v>
          </cell>
          <cell r="F1110" t="str">
            <v>Etude, suivi  et réalis. D' 1 centre de proximité des impots à M'sila  ( Décentralisée)</v>
          </cell>
        </row>
        <row r="1111">
          <cell r="A1111" t="str">
            <v>NF583420731</v>
          </cell>
          <cell r="B1111" t="str">
            <v>PCSC</v>
          </cell>
          <cell r="C1111" t="str">
            <v>DLEP</v>
          </cell>
          <cell r="D1111" t="str">
            <v xml:space="preserve">MINISTERE DES FINANCES  </v>
          </cell>
          <cell r="E1111" t="str">
            <v>NF5.834.2.262.128.07.31</v>
          </cell>
          <cell r="F1111" t="str">
            <v>Etude, réalis. et équipt. Centre inter-coml. foncier à S-aissa (Insp. Domaine et Conserv. Fonc)  avec 02 logt. D'astreinte</v>
          </cell>
        </row>
        <row r="1112">
          <cell r="A1112" t="str">
            <v>NF583420819</v>
          </cell>
          <cell r="B1112" t="str">
            <v>PCSC</v>
          </cell>
          <cell r="C1112" t="str">
            <v>DLEP</v>
          </cell>
          <cell r="D1112" t="str">
            <v xml:space="preserve">MINISTERE DE L'HABITAT ET URBANISME </v>
          </cell>
          <cell r="E1112" t="str">
            <v>NF5.834.2.262.128.08.19</v>
          </cell>
          <cell r="F1112" t="str">
            <v>Etude, réalisation et équipt siège d'1 SLEP + Logt. Fonct. à Sidi Aissa (PSCE 2008)</v>
          </cell>
        </row>
        <row r="1113">
          <cell r="A1113" t="str">
            <v>NF583420822</v>
          </cell>
          <cell r="B1113" t="str">
            <v>PCSC</v>
          </cell>
          <cell r="C1113" t="str">
            <v xml:space="preserve">DUC </v>
          </cell>
          <cell r="D1113" t="str">
            <v xml:space="preserve">MINISTERE DE L'HABITAT ET URBANISME </v>
          </cell>
          <cell r="E1113" t="str">
            <v>NF5.834.2.262.128.08.22</v>
          </cell>
          <cell r="F1113" t="str">
            <v>Etude, réalisation et équipt siège de Direction DUC + Logt. Fonct.(PSCE 2008)</v>
          </cell>
        </row>
        <row r="1114">
          <cell r="A1114" t="str">
            <v>NF583420823</v>
          </cell>
          <cell r="B1114" t="str">
            <v>PCSC</v>
          </cell>
          <cell r="C1114" t="str">
            <v>DLEP</v>
          </cell>
          <cell r="D1114" t="str">
            <v xml:space="preserve">MINISTERE DU TRAVAIL </v>
          </cell>
          <cell r="E1114" t="str">
            <v>NF5.834.2.262.128.08.23</v>
          </cell>
          <cell r="F1114" t="str">
            <v>Etude, réalisation et équipt siège de l' ANEM + Logt. Fonct.(PSCE 2008)</v>
          </cell>
        </row>
        <row r="1115">
          <cell r="A1115" t="str">
            <v>NF583420828</v>
          </cell>
          <cell r="B1115" t="str">
            <v>PCSC</v>
          </cell>
          <cell r="C1115" t="str">
            <v xml:space="preserve">DUC </v>
          </cell>
          <cell r="D1115" t="str">
            <v xml:space="preserve">MINISTERE DU TRAVAIL </v>
          </cell>
          <cell r="E1115" t="str">
            <v>NF5.834.2.262.128.08.28</v>
          </cell>
          <cell r="F1115" t="str">
            <v>Etude, réalisation et équipt siège de Direction Emploi + Logt. Fonct.(PSCE 2008)</v>
          </cell>
        </row>
        <row r="1116">
          <cell r="A1116" t="str">
            <v>NF583420829</v>
          </cell>
          <cell r="B1116" t="str">
            <v>PCSC</v>
          </cell>
          <cell r="C1116" t="str">
            <v>DLEP</v>
          </cell>
          <cell r="D1116" t="str">
            <v xml:space="preserve">MINISTERE DES FINANCES  </v>
          </cell>
          <cell r="E1116" t="str">
            <v>NF5.834.2.262.128.08.29</v>
          </cell>
          <cell r="F1116" t="str">
            <v>Etude, réalisation et équipt d'1 centre foncier inter-communal à M’sila  avec 02 logt. D'astreinte</v>
          </cell>
        </row>
        <row r="1117">
          <cell r="A1117" t="str">
            <v>NF583420930</v>
          </cell>
          <cell r="B1117" t="str">
            <v>PCSC</v>
          </cell>
          <cell r="C1117" t="str">
            <v>DLEP</v>
          </cell>
          <cell r="D1117" t="str">
            <v xml:space="preserve">MINISTERE DES FINANCES  </v>
          </cell>
          <cell r="E1117" t="str">
            <v>NF5.834.2.262.128.09.30</v>
          </cell>
          <cell r="F1117" t="str">
            <v>Etude , realisation et équipement  d'un centre foncier inter-communal à Bou-saada avec 02 logt. D'astreinte</v>
          </cell>
        </row>
        <row r="1118">
          <cell r="A1118" t="str">
            <v>NF583420933</v>
          </cell>
          <cell r="B1118" t="str">
            <v>PCSC</v>
          </cell>
          <cell r="C1118" t="str">
            <v>DLEP</v>
          </cell>
          <cell r="D1118" t="str">
            <v xml:space="preserve">MINISTERE DES FINANCES  </v>
          </cell>
          <cell r="E1118" t="str">
            <v>NF5.834.2.262.128.09.33</v>
          </cell>
          <cell r="F1118" t="str">
            <v xml:space="preserve">Etude, realisation et climatisation d'un centre de proximité des impots à Magra </v>
          </cell>
        </row>
        <row r="1119">
          <cell r="A1119" t="str">
            <v>NF583480804</v>
          </cell>
          <cell r="B1119" t="str">
            <v>PCSC</v>
          </cell>
          <cell r="C1119" t="str">
            <v>DLEP</v>
          </cell>
          <cell r="D1119" t="str">
            <v xml:space="preserve">MINISTERE DES FINANCES  </v>
          </cell>
          <cell r="E1119" t="str">
            <v>NF5.834.8.262.128.08.04</v>
          </cell>
          <cell r="F1119" t="str">
            <v>Climatisation d'1 centre de impots à M'sila ( Décentralisée)</v>
          </cell>
        </row>
        <row r="1120">
          <cell r="A1120" t="str">
            <v>NF583480806</v>
          </cell>
          <cell r="B1120" t="str">
            <v>PCSC</v>
          </cell>
          <cell r="C1120" t="str">
            <v>DLEP</v>
          </cell>
          <cell r="D1120" t="str">
            <v xml:space="preserve">MINISTERE DES FINANCES  </v>
          </cell>
          <cell r="E1120" t="str">
            <v>NF5.834.8.262.128.08.06</v>
          </cell>
          <cell r="F1120" t="str">
            <v>Climatisation de 03  CPI  à M'sila, S-aissa , B-saada ( Décentralisée)</v>
          </cell>
        </row>
        <row r="1121">
          <cell r="A1121" t="str">
            <v>SF583420617</v>
          </cell>
          <cell r="B1121" t="str">
            <v>PHP</v>
          </cell>
          <cell r="C1121" t="str">
            <v>DT</v>
          </cell>
          <cell r="D1121" t="str">
            <v xml:space="preserve">MINISTERE DES TOURISMES  </v>
          </cell>
          <cell r="E1121" t="str">
            <v>SF5.834.2.262.128.06.17</v>
          </cell>
          <cell r="F1121" t="str">
            <v xml:space="preserve">Etude, réalisation et équipement d'un centre d'information et d'orientation touristique </v>
          </cell>
        </row>
        <row r="1122">
          <cell r="A1122" t="str">
            <v>SF583420638</v>
          </cell>
          <cell r="B1122" t="str">
            <v>PHP</v>
          </cell>
          <cell r="C1122" t="str">
            <v>DLEP</v>
          </cell>
          <cell r="D1122" t="str">
            <v xml:space="preserve">MINISTERE DES MINES </v>
          </cell>
          <cell r="E1122" t="str">
            <v>SF5.834.2.262.128.06.38</v>
          </cell>
          <cell r="F1122" t="str">
            <v>Construction d'une Antenne ONML</v>
          </cell>
        </row>
        <row r="1123">
          <cell r="A1123" t="str">
            <v>SF583420715</v>
          </cell>
          <cell r="B1123" t="str">
            <v>PHP</v>
          </cell>
          <cell r="C1123" t="str">
            <v xml:space="preserve">DUC </v>
          </cell>
          <cell r="D1123" t="str">
            <v xml:space="preserve">MINISTERE DU TRAVAIL </v>
          </cell>
          <cell r="E1123" t="str">
            <v>SF5.834.2.262.128.07.15</v>
          </cell>
          <cell r="F1123" t="str">
            <v>Etude ,réalis. et équipt. d'1 siège d'inspection de travail avec logt. de fonction à B-saada</v>
          </cell>
        </row>
        <row r="1124">
          <cell r="A1124" t="str">
            <v>SF583430601</v>
          </cell>
          <cell r="B1124" t="str">
            <v>PHP</v>
          </cell>
          <cell r="C1124" t="str">
            <v>DAL</v>
          </cell>
          <cell r="D1124" t="str">
            <v xml:space="preserve">MINISTERE DU TRAVAIL </v>
          </cell>
          <cell r="E1124" t="str">
            <v>SF5.834.3.262.128.06.01</v>
          </cell>
          <cell r="F1124" t="str">
            <v xml:space="preserve">Acquisition d'1 VTT pour le bureau de l'inspection de travail </v>
          </cell>
        </row>
        <row r="1125">
          <cell r="A1125" t="str">
            <v>SF583430602</v>
          </cell>
          <cell r="B1125" t="str">
            <v>PHP</v>
          </cell>
          <cell r="C1125" t="str">
            <v>DAL</v>
          </cell>
          <cell r="D1125" t="str">
            <v xml:space="preserve">MINISTERE DU TRAVAIL </v>
          </cell>
          <cell r="E1125" t="str">
            <v>SF5.834.3.262.128.06.02</v>
          </cell>
          <cell r="F1125" t="str">
            <v>Acquis. équipts. Inform., mobilier bureau et moyens de reprographie pour Sces Inspect. Travail</v>
          </cell>
        </row>
        <row r="1126">
          <cell r="A1126" t="str">
            <v>NK5834--14--</v>
          </cell>
          <cell r="B1126" t="str">
            <v>PCCE</v>
          </cell>
          <cell r="C1126" t="str">
            <v>DCW</v>
          </cell>
          <cell r="D1126" t="str">
            <v xml:space="preserve">MINISTERE DE LA CULTURE </v>
          </cell>
          <cell r="E1126" t="str">
            <v>NK5.834.--.262.128.14.--</v>
          </cell>
          <cell r="F1126" t="str">
            <v xml:space="preserve">Réalisation et équipement d'un siège de direction de la culture avec logement de fonction  à M'sila </v>
          </cell>
        </row>
        <row r="1127">
          <cell r="A1127" t="str">
            <v>NK5834--14--</v>
          </cell>
          <cell r="B1127" t="str">
            <v>PCCE</v>
          </cell>
          <cell r="C1127" t="str">
            <v>DEFP</v>
          </cell>
          <cell r="D1127" t="str">
            <v xml:space="preserve">MINISTERE DE LA FORMATION </v>
          </cell>
          <cell r="E1127" t="str">
            <v>NK5.834.--.262.128.14.--</v>
          </cell>
          <cell r="F1127" t="str">
            <v xml:space="preserve">Etude, réalisation et équipement poste transformateur au siège de la direction de la formation professionnelle M'sila </v>
          </cell>
        </row>
        <row r="1128">
          <cell r="A1128" t="str">
            <v>NK5834--14--</v>
          </cell>
          <cell r="B1128" t="str">
            <v>PCCE</v>
          </cell>
          <cell r="C1128" t="str">
            <v>DSA</v>
          </cell>
          <cell r="D1128" t="str">
            <v xml:space="preserve">MINISTERE DE L'AGRICULTURE </v>
          </cell>
          <cell r="E1128" t="str">
            <v>NK5.834.--.262.128.14.--</v>
          </cell>
          <cell r="F1128" t="str">
            <v>Réalisation d'un (01) siège de subdivision agricole à Djebel Messaad</v>
          </cell>
        </row>
        <row r="1129">
          <cell r="A1129" t="str">
            <v>NK5834--14--</v>
          </cell>
          <cell r="B1129" t="str">
            <v>PCCE</v>
          </cell>
          <cell r="C1129" t="str">
            <v>DSA</v>
          </cell>
          <cell r="D1129" t="str">
            <v xml:space="preserve">MINISTERE DE L'AGRICULTURE </v>
          </cell>
          <cell r="E1129" t="str">
            <v>NK5.834.--.262.128.14.--</v>
          </cell>
          <cell r="F1129" t="str">
            <v>Equipement de 04 sièges de subdivisions agricoles (Oueld Derradje Ben s'rour,Magra,Djebel Messaad)</v>
          </cell>
        </row>
        <row r="1130">
          <cell r="A1130" t="str">
            <v>NK5854--14--</v>
          </cell>
          <cell r="B1130" t="str">
            <v>PCCE</v>
          </cell>
          <cell r="C1130" t="str">
            <v>DPC</v>
          </cell>
          <cell r="D1130" t="str">
            <v xml:space="preserve">MINISTRE DE L'INTERIEUR </v>
          </cell>
          <cell r="E1130" t="str">
            <v>NK5.854.--.262.128.14.--</v>
          </cell>
          <cell r="F1130" t="str">
            <v>Etude et réalisation d'un poste avancé de la Protection Civile au chef-lieu (550 M2)</v>
          </cell>
        </row>
        <row r="1131">
          <cell r="A1131" t="str">
            <v>NK5852--14--</v>
          </cell>
          <cell r="B1131" t="str">
            <v>PCCE</v>
          </cell>
          <cell r="C1131" t="str">
            <v>DLEP</v>
          </cell>
          <cell r="D1131" t="str">
            <v xml:space="preserve">MINISTRE DE L'INTERIEUR </v>
          </cell>
          <cell r="E1131" t="str">
            <v>NK5.852.--.262.128.14.--</v>
          </cell>
          <cell r="F1131" t="str">
            <v xml:space="preserve">Etude et réalisation d'un célibatorium au profit de sureté Nationale au chef-lieu </v>
          </cell>
        </row>
        <row r="1132">
          <cell r="A1132" t="str">
            <v>NK5852--14--</v>
          </cell>
          <cell r="B1132" t="str">
            <v>PCCE</v>
          </cell>
          <cell r="C1132" t="str">
            <v>DLEP</v>
          </cell>
          <cell r="D1132" t="str">
            <v xml:space="preserve">MINISTRE DE L'INTERIEUR </v>
          </cell>
          <cell r="E1132" t="str">
            <v>NK5.852.--.262.128.14.--</v>
          </cell>
          <cell r="F1132" t="str">
            <v>Réalisation d'un célibatorium (R+1) au profit de sureté Nationale (4éme URS) de Bou-saada</v>
          </cell>
        </row>
        <row r="1133">
          <cell r="A1133" t="str">
            <v>NK5852--14--</v>
          </cell>
          <cell r="B1133" t="str">
            <v>PCCE</v>
          </cell>
          <cell r="C1133" t="str">
            <v>DLEP</v>
          </cell>
          <cell r="D1133" t="str">
            <v xml:space="preserve">MINISTRE DE L'INTERIEUR </v>
          </cell>
          <cell r="E1133" t="str">
            <v>NK5.852.--.262.128.14.--</v>
          </cell>
          <cell r="F1133" t="str">
            <v xml:space="preserve">Réalisation d'une sureté de Daïra avec 08 logements à Sidi Aissa </v>
          </cell>
        </row>
        <row r="1134">
          <cell r="A1134" t="str">
            <v>NK5852--14--</v>
          </cell>
          <cell r="B1134" t="str">
            <v>PCCE</v>
          </cell>
          <cell r="C1134" t="str">
            <v>DLEP</v>
          </cell>
          <cell r="D1134" t="str">
            <v xml:space="preserve">MINISTRE DE L'INTERIEUR </v>
          </cell>
          <cell r="E1134" t="str">
            <v>NK5.852.--.262.128.14.--</v>
          </cell>
          <cell r="F1134" t="str">
            <v xml:space="preserve">Réalisation d'une sureté Urbaine /IM au chef-lieu </v>
          </cell>
        </row>
        <row r="1135">
          <cell r="A1135" t="str">
            <v>NK5852--14--</v>
          </cell>
          <cell r="B1135" t="str">
            <v>PCCE</v>
          </cell>
          <cell r="C1135" t="str">
            <v>DLEP</v>
          </cell>
          <cell r="D1135" t="str">
            <v xml:space="preserve">MINISTRE DE L'INTERIEUR </v>
          </cell>
          <cell r="E1135" t="str">
            <v>NK5.852.--.262.128.14.--</v>
          </cell>
          <cell r="F1135" t="str">
            <v>Réalisation d’une brigade Mobile de Police Judiciaire (BMPJ) à Bou-saada</v>
          </cell>
        </row>
        <row r="1136">
          <cell r="A1136" t="str">
            <v>NK5834--14--</v>
          </cell>
          <cell r="B1136" t="str">
            <v>PCCE</v>
          </cell>
          <cell r="C1136" t="str">
            <v>DLEP</v>
          </cell>
          <cell r="D1136" t="str">
            <v xml:space="preserve">MINISTERE DES FINANCES </v>
          </cell>
          <cell r="E1136" t="str">
            <v>NK5.834.--.262.128.14.--</v>
          </cell>
          <cell r="F1136" t="str">
            <v xml:space="preserve">Suivi, réalisation d'un centre de proximité des impôts à Hammam Dalaa </v>
          </cell>
        </row>
        <row r="1137">
          <cell r="A1137" t="str">
            <v>NK5834--14--</v>
          </cell>
          <cell r="B1137" t="str">
            <v>PCCE</v>
          </cell>
          <cell r="C1137" t="str">
            <v>DLEP</v>
          </cell>
          <cell r="D1137" t="str">
            <v xml:space="preserve">MINISTERE DES FINANCES </v>
          </cell>
          <cell r="E1137" t="str">
            <v>NK5.834.--.262.128.14.--</v>
          </cell>
          <cell r="F1137" t="str">
            <v xml:space="preserve">Réalisation et équipement du siège de la trésorerie de la wilaya de M'sila avec 03 logement d'astreinte </v>
          </cell>
        </row>
        <row r="1138">
          <cell r="A1138" t="str">
            <v>NK5834--14--</v>
          </cell>
          <cell r="B1138" t="str">
            <v>PCCE</v>
          </cell>
          <cell r="C1138" t="str">
            <v xml:space="preserve">DRE </v>
          </cell>
          <cell r="D1138" t="str">
            <v xml:space="preserve">MINISTERE DES RESSOURCES EN EAU </v>
          </cell>
          <cell r="E1138" t="str">
            <v>NK5.834.--.262.128.14.--</v>
          </cell>
          <cell r="F1138" t="str">
            <v xml:space="preserve">Réhabilitation du siège de la direction des ressources en eau </v>
          </cell>
        </row>
        <row r="1139">
          <cell r="A1139" t="str">
            <v>NK5834--14--</v>
          </cell>
          <cell r="B1139" t="str">
            <v>PCCE</v>
          </cell>
          <cell r="C1139" t="str">
            <v xml:space="preserve">DRE </v>
          </cell>
          <cell r="D1139" t="str">
            <v xml:space="preserve">MINISTERE DES RESSOURCES EN EAU </v>
          </cell>
          <cell r="E1139" t="str">
            <v>NK5.834.--.262.128.14.--</v>
          </cell>
          <cell r="F1139" t="str">
            <v xml:space="preserve">Réalisation et équipement d'un siège de subdivision des ressources en eau avec logement de fonction </v>
          </cell>
        </row>
        <row r="1140">
          <cell r="A1140" t="str">
            <v>NK583411004</v>
          </cell>
          <cell r="B1140" t="str">
            <v>PCCE</v>
          </cell>
          <cell r="C1140" t="str">
            <v>DT</v>
          </cell>
          <cell r="D1140" t="str">
            <v xml:space="preserve">MINISTERE DU TOURISME </v>
          </cell>
          <cell r="E1140" t="str">
            <v>NK5.834.1.262.128.10.04</v>
          </cell>
          <cell r="F1140" t="str">
            <v>Etude pour la  réalisation et l' équipement du siège de Direcrtion du tourisme avec logement de fonction</v>
          </cell>
        </row>
        <row r="1141">
          <cell r="A1141" t="str">
            <v>NK583411005</v>
          </cell>
          <cell r="B1141" t="str">
            <v>PCCE</v>
          </cell>
          <cell r="C1141" t="str">
            <v>DT</v>
          </cell>
          <cell r="D1141" t="str">
            <v xml:space="preserve">MINISTERE DU TOURISME </v>
          </cell>
          <cell r="E1141" t="str">
            <v>NK5.834.1.262.128.10.05</v>
          </cell>
          <cell r="F1141" t="str">
            <v>Etude pour la  réalisation et l' équipement d' un centre d' information et d' orientation touristique.</v>
          </cell>
        </row>
        <row r="1142">
          <cell r="A1142" t="str">
            <v>NK583411006</v>
          </cell>
          <cell r="B1142" t="str">
            <v>PCCE</v>
          </cell>
          <cell r="C1142" t="str">
            <v>DLEP</v>
          </cell>
          <cell r="D1142" t="str">
            <v xml:space="preserve">MINISTERE DES FINANCES  </v>
          </cell>
          <cell r="E1142" t="str">
            <v>NK5.834.1.262.128.10.06</v>
          </cell>
          <cell r="F1142" t="str">
            <v>Etude pour la réalisation d'un centre de proximité des impots (CPI) à Ain-El-Melh</v>
          </cell>
        </row>
        <row r="1143">
          <cell r="A1143" t="str">
            <v>NK583411010</v>
          </cell>
          <cell r="B1143" t="str">
            <v>PCCE</v>
          </cell>
          <cell r="C1143" t="str">
            <v>DLEP</v>
          </cell>
          <cell r="D1143" t="str">
            <v xml:space="preserve">MINISTERE DE L'HABITAT ET URBANISME </v>
          </cell>
          <cell r="E1143" t="str">
            <v>NK5.834.1.262.128.10.10</v>
          </cell>
          <cell r="F1143" t="str">
            <v>Etude pour la  réalisation de 04 sièges de subdivisions de l' habitat (SLEP) y compris logements de fonctions</v>
          </cell>
        </row>
        <row r="1144">
          <cell r="A1144" t="str">
            <v>NK583411019</v>
          </cell>
          <cell r="B1144" t="str">
            <v>PCCE</v>
          </cell>
          <cell r="C1144" t="str">
            <v>DLEP</v>
          </cell>
          <cell r="D1144" t="str">
            <v xml:space="preserve">MINISTERE DES FINANCES  </v>
          </cell>
          <cell r="E1144" t="str">
            <v>NK5.834.1.262.128.10.19</v>
          </cell>
          <cell r="F1144" t="str">
            <v>Etude pour la réalisation d'un centre de proximité des impots (CPI) à Hammam-Dalaa</v>
          </cell>
        </row>
        <row r="1145">
          <cell r="A1145" t="str">
            <v>NK583411107</v>
          </cell>
          <cell r="B1145" t="str">
            <v>PCCE</v>
          </cell>
          <cell r="C1145" t="str">
            <v>DSA</v>
          </cell>
          <cell r="D1145" t="str">
            <v xml:space="preserve">MINISTERE DES FINANCES  </v>
          </cell>
          <cell r="E1145" t="str">
            <v>NK5.834.1.262.128.11.07</v>
          </cell>
          <cell r="F1145" t="str">
            <v>Etude pour la  réalisation de  siège de subdivision agricole à Magra</v>
          </cell>
        </row>
        <row r="1146">
          <cell r="A1146" t="str">
            <v>NK583411108</v>
          </cell>
          <cell r="B1146" t="str">
            <v>PCCE</v>
          </cell>
          <cell r="C1146" t="str">
            <v>DLEP</v>
          </cell>
          <cell r="D1146" t="str">
            <v xml:space="preserve">MINISTERE DES FINANCES  </v>
          </cell>
          <cell r="E1146" t="str">
            <v>NK5.834.1.262.128.11.08</v>
          </cell>
          <cell r="F1146" t="str">
            <v>Etude pour la  réalisation d'un siège de contrôleur financier avec 1 logement d'astreinte à M'sila</v>
          </cell>
        </row>
        <row r="1147">
          <cell r="A1147" t="str">
            <v>NK583411109</v>
          </cell>
          <cell r="B1147" t="str">
            <v>PCCE</v>
          </cell>
          <cell r="C1147" t="str">
            <v>DLEP</v>
          </cell>
          <cell r="D1147" t="str">
            <v xml:space="preserve">MINISTERE DE L'AGRICULTURE </v>
          </cell>
          <cell r="E1147" t="str">
            <v>NK5.834.1.262.128.11.09</v>
          </cell>
          <cell r="F1147" t="str">
            <v>Etude pour la  réalisation d'un siège de la trésorerie de Wilaya avec 3 logements d'astreinte à M'sila</v>
          </cell>
        </row>
        <row r="1148">
          <cell r="A1148" t="str">
            <v>NK583411211</v>
          </cell>
          <cell r="B1148" t="str">
            <v>PCCE</v>
          </cell>
          <cell r="C1148" t="str">
            <v xml:space="preserve">DSA </v>
          </cell>
          <cell r="D1148" t="str">
            <v xml:space="preserve">MINISTERE DE L'AGRICULTURE </v>
          </cell>
          <cell r="E1148" t="str">
            <v>NK5.834.1.262.128.12.11</v>
          </cell>
          <cell r="F1148" t="str">
            <v>Étude pour la réalisation de siège de subdivision agricole à Djebel Messaa</v>
          </cell>
        </row>
        <row r="1149">
          <cell r="A1149" t="str">
            <v>NK583411212</v>
          </cell>
          <cell r="B1149" t="str">
            <v>PCCE</v>
          </cell>
          <cell r="C1149" t="str">
            <v>DSP</v>
          </cell>
          <cell r="D1149" t="str">
            <v xml:space="preserve">MINISTERE DE LA SANTE </v>
          </cell>
          <cell r="E1149" t="str">
            <v>NK5.834.1.262.128.12.12</v>
          </cell>
          <cell r="F1149" t="str">
            <v>Étude et suivi pour la réalisation d'un siège d'établissement public de santé de proximité (EPSP) à M'sila</v>
          </cell>
        </row>
        <row r="1150">
          <cell r="A1150" t="str">
            <v>NK583411213</v>
          </cell>
          <cell r="B1150" t="str">
            <v>PCCE</v>
          </cell>
          <cell r="C1150" t="str">
            <v>DSP</v>
          </cell>
          <cell r="D1150" t="str">
            <v xml:space="preserve">MINISTERE DE LA SANTE </v>
          </cell>
          <cell r="E1150" t="str">
            <v>NK5.834.1.262.128.12.13</v>
          </cell>
          <cell r="F1150" t="str">
            <v xml:space="preserve">Étude et suivi pour la réalisation d'un siège d'établissement public de santé de proximité (EPSP) à Bou-saada  </v>
          </cell>
        </row>
        <row r="1151">
          <cell r="A1151" t="str">
            <v>NK583411214</v>
          </cell>
          <cell r="B1151" t="str">
            <v>PCCE</v>
          </cell>
          <cell r="C1151" t="str">
            <v>DSP</v>
          </cell>
          <cell r="D1151" t="str">
            <v xml:space="preserve">MINISTERE DE LA SANTE </v>
          </cell>
          <cell r="E1151" t="str">
            <v>NK5.834.1.262.128.12.14</v>
          </cell>
          <cell r="F1151" t="str">
            <v>Étude et suivi pour la réalisation d'un siège d'établissement public de santé de proximité (EPSP) à Sidi Aissa</v>
          </cell>
        </row>
        <row r="1152">
          <cell r="A1152" t="str">
            <v>NK583411215</v>
          </cell>
          <cell r="B1152" t="str">
            <v>PCCE</v>
          </cell>
          <cell r="C1152" t="str">
            <v>DSP</v>
          </cell>
          <cell r="D1152" t="str">
            <v xml:space="preserve">MINISTERE DE LA SANTE </v>
          </cell>
          <cell r="E1152" t="str">
            <v>NK5.834.1.262.128.12.15</v>
          </cell>
          <cell r="F1152" t="str">
            <v>Étude et suivi pour la réalisation d'un siège d'établissement public de santé de proximité (EPSP) à Magra</v>
          </cell>
        </row>
        <row r="1153">
          <cell r="A1153" t="str">
            <v>NK583411216</v>
          </cell>
          <cell r="B1153" t="str">
            <v>PCCE</v>
          </cell>
          <cell r="C1153" t="str">
            <v>DSP</v>
          </cell>
          <cell r="D1153" t="str">
            <v xml:space="preserve">MINISTERE DE LA SANTE </v>
          </cell>
          <cell r="E1153" t="str">
            <v>NK5.834.1.262.128.12.16</v>
          </cell>
          <cell r="F1153" t="str">
            <v>Étude et suivi pour la réalisation d'un siège d'établissement public de santé de proximité (EPSP) à Ain El Meleh</v>
          </cell>
        </row>
        <row r="1154">
          <cell r="A1154" t="str">
            <v>NK583411217</v>
          </cell>
          <cell r="B1154" t="str">
            <v>PCCE</v>
          </cell>
          <cell r="C1154" t="str">
            <v>DSP</v>
          </cell>
          <cell r="D1154" t="str">
            <v xml:space="preserve">MINISTERE DE LA SANTE </v>
          </cell>
          <cell r="E1154" t="str">
            <v>NK5.834.1.262.128.12.17</v>
          </cell>
          <cell r="F1154" t="str">
            <v>Étude et suivi pour la réalisation d'un siège d'établissement public de santé de proximité (EPSP) à Ben s'rour</v>
          </cell>
        </row>
        <row r="1155">
          <cell r="A1155" t="str">
            <v>NK583411218</v>
          </cell>
          <cell r="B1155" t="str">
            <v>PCCE</v>
          </cell>
          <cell r="C1155" t="str">
            <v>DCW</v>
          </cell>
          <cell r="D1155" t="str">
            <v xml:space="preserve">MINISTERE DE LA CULTURE </v>
          </cell>
          <cell r="E1155" t="str">
            <v>NK5.834.1.262.128.12.18</v>
          </cell>
          <cell r="F1155" t="str">
            <v xml:space="preserve">Étude et suivi pour la réalisation d'un siège de direction de la culture avec logement de fonction </v>
          </cell>
        </row>
        <row r="1156">
          <cell r="A1156" t="str">
            <v>NK583411220</v>
          </cell>
          <cell r="B1156" t="str">
            <v>PCCE</v>
          </cell>
          <cell r="C1156" t="str">
            <v>DLEP</v>
          </cell>
          <cell r="D1156" t="str">
            <v xml:space="preserve">MINISTERE DES FINANCES  </v>
          </cell>
          <cell r="E1156" t="str">
            <v>NK5.834.1.262.128.12.20</v>
          </cell>
          <cell r="F1156" t="str">
            <v xml:space="preserve">Étude et suivi pour la réalisation d'une recette et brigade des douanes à M'sila </v>
          </cell>
        </row>
        <row r="1157">
          <cell r="A1157" t="str">
            <v>NK583421025</v>
          </cell>
          <cell r="B1157" t="str">
            <v>PCCE</v>
          </cell>
          <cell r="C1157" t="str">
            <v xml:space="preserve">DJS </v>
          </cell>
          <cell r="D1157" t="str">
            <v xml:space="preserve">MINISTRE DE LA JEUNESSE ET DES SPORTS </v>
          </cell>
          <cell r="E1157" t="str">
            <v>NK5.834.2.262.128.10.25</v>
          </cell>
          <cell r="F1157" t="str">
            <v>Etude, réalisation et équipement d' un siège de Direcrtion de la jeunesse et des sports à M'sila.</v>
          </cell>
        </row>
        <row r="1158">
          <cell r="A1158" t="str">
            <v>NK583421026</v>
          </cell>
          <cell r="B1158" t="str">
            <v>PCCE</v>
          </cell>
          <cell r="C1158" t="str">
            <v>DSA</v>
          </cell>
          <cell r="D1158" t="str">
            <v xml:space="preserve">MINISTERE DE L'AGRICULTURE </v>
          </cell>
          <cell r="E1158" t="str">
            <v>NK5.834.2.262.128.10.26</v>
          </cell>
          <cell r="F1158" t="str">
            <v>Etude et  réalisation de 02 sièges de subdivisions agricoles</v>
          </cell>
        </row>
        <row r="1159">
          <cell r="A1159" t="str">
            <v>NK583421027</v>
          </cell>
          <cell r="B1159" t="str">
            <v>PCCE</v>
          </cell>
          <cell r="C1159" t="str">
            <v xml:space="preserve">DSP </v>
          </cell>
          <cell r="D1159" t="str">
            <v xml:space="preserve">MINISTERE DE LA SANTE </v>
          </cell>
          <cell r="E1159" t="str">
            <v>NK5.834.2.262.128.10.27</v>
          </cell>
          <cell r="F1159" t="str">
            <v>Etude d' adaptation et la réalisation d' un siège de Direcrtion de la sante avec logement.</v>
          </cell>
        </row>
        <row r="1160">
          <cell r="A1160" t="str">
            <v>NK583421032</v>
          </cell>
          <cell r="B1160" t="str">
            <v>PCCE</v>
          </cell>
          <cell r="C1160" t="str">
            <v>DAS</v>
          </cell>
          <cell r="D1160" t="str">
            <v xml:space="preserve">MINISTERE DE LA SOLIDARITE </v>
          </cell>
          <cell r="E1160" t="str">
            <v>NK5.834.2.262.128.10.32</v>
          </cell>
          <cell r="F1160" t="str">
            <v>Etude, réalis. et équipt.  siège de la Direction de l' action sociale (DAS)+ logement  d' astreinte,  M'sila.</v>
          </cell>
        </row>
        <row r="1161">
          <cell r="A1161" t="str">
            <v>NK583421034</v>
          </cell>
          <cell r="B1161" t="str">
            <v>PCCE</v>
          </cell>
          <cell r="C1161" t="str">
            <v>C.F</v>
          </cell>
          <cell r="D1161" t="str">
            <v xml:space="preserve">MINISTERE DE L'AGRICULTURE </v>
          </cell>
          <cell r="E1161" t="str">
            <v>NK5.834.2.262.128.10.34</v>
          </cell>
          <cell r="F1161" t="str">
            <v>Etude, réalisation et équipement du siège de la conservation des forêts</v>
          </cell>
        </row>
        <row r="1162">
          <cell r="A1162" t="str">
            <v>NK583421136</v>
          </cell>
          <cell r="B1162" t="str">
            <v>PCCE</v>
          </cell>
          <cell r="C1162" t="str">
            <v>DT</v>
          </cell>
          <cell r="D1162" t="str">
            <v xml:space="preserve">MINISTERE DU TOURISME </v>
          </cell>
          <cell r="E1162" t="str">
            <v>NK5.834.2.262.128.11.36</v>
          </cell>
          <cell r="F1162" t="str">
            <v>Suivi, réalisation et équipement d' un siège de Direcrtion du Tourisme avec logement de fonction à M'sila.</v>
          </cell>
        </row>
        <row r="1163">
          <cell r="A1163" t="str">
            <v>NK583421137</v>
          </cell>
          <cell r="B1163" t="str">
            <v>PCCE</v>
          </cell>
          <cell r="C1163" t="str">
            <v>DLEP</v>
          </cell>
          <cell r="D1163" t="str">
            <v xml:space="preserve">MINISTERE DES FINANCES  </v>
          </cell>
          <cell r="E1163" t="str">
            <v>NK5.834.2.262.128.11.37</v>
          </cell>
          <cell r="F1163" t="str">
            <v>Suivi et réalisation d'un centre de proximité des impots (CPI) à A.E.Melh</v>
          </cell>
        </row>
        <row r="1164">
          <cell r="A1164" t="str">
            <v>NK583421142</v>
          </cell>
          <cell r="B1164" t="str">
            <v>PCCE</v>
          </cell>
          <cell r="C1164" t="str">
            <v>DLEP</v>
          </cell>
          <cell r="D1164" t="str">
            <v xml:space="preserve">MINISTERE DES FINANCES  </v>
          </cell>
          <cell r="E1164" t="str">
            <v>NK5.834.2.262.128.11.42</v>
          </cell>
          <cell r="F1164" t="str">
            <v>Réalisation et équipement d' un siège de Contrôleur financier avec logement d'astreinte  à M'sila.</v>
          </cell>
        </row>
        <row r="1165">
          <cell r="A1165" t="str">
            <v>NK583421235</v>
          </cell>
          <cell r="B1165" t="str">
            <v>PCCE</v>
          </cell>
          <cell r="C1165" t="str">
            <v xml:space="preserve">DSA </v>
          </cell>
          <cell r="D1165" t="str">
            <v xml:space="preserve">MINISTERE DE L'AGRICULTURE </v>
          </cell>
          <cell r="E1165" t="str">
            <v>NK5.834.2.262.128.12.35</v>
          </cell>
          <cell r="F1165" t="str">
            <v>Réalisation de siège de subdivision agricole à Magra</v>
          </cell>
        </row>
        <row r="1166">
          <cell r="A1166" t="str">
            <v>NK583421239</v>
          </cell>
          <cell r="B1166" t="str">
            <v>PCCE</v>
          </cell>
          <cell r="C1166" t="str">
            <v>D COMM</v>
          </cell>
          <cell r="D1166" t="str">
            <v xml:space="preserve">MINISTERE DU COMMERCE </v>
          </cell>
          <cell r="E1166" t="str">
            <v>NK5.834.2.262.128.12.39</v>
          </cell>
          <cell r="F1166" t="str">
            <v>Étude, et réalisation et équipement d'un siège d'inspection territoriale du commerce à Bou-saada</v>
          </cell>
        </row>
        <row r="1167">
          <cell r="A1167" t="str">
            <v>NK583421240</v>
          </cell>
          <cell r="B1167" t="str">
            <v>PCCE</v>
          </cell>
          <cell r="C1167" t="str">
            <v>D COMM</v>
          </cell>
          <cell r="D1167" t="str">
            <v xml:space="preserve">MINISTERE DU COMMERCE </v>
          </cell>
          <cell r="E1167" t="str">
            <v>NK5.834.2.262.128.12.40</v>
          </cell>
          <cell r="F1167" t="str">
            <v>Étude, et réalisation et équipement d'un siège d'inspection territoriale du commerce à Sidi Aissa</v>
          </cell>
        </row>
        <row r="1168">
          <cell r="A1168" t="str">
            <v>NK583421241</v>
          </cell>
          <cell r="B1168" t="str">
            <v>PCCE</v>
          </cell>
          <cell r="C1168" t="str">
            <v>D COMM</v>
          </cell>
          <cell r="D1168" t="str">
            <v xml:space="preserve">MINISTERE DU COMMERCE </v>
          </cell>
          <cell r="E1168" t="str">
            <v>NK5.834.2.262.128.12.41</v>
          </cell>
          <cell r="F1168" t="str">
            <v>Étude, et réalisation et équipement d'un siège d'inspection territoriale du commerce à Magra</v>
          </cell>
        </row>
        <row r="1169">
          <cell r="A1169" t="str">
            <v>NK583481105</v>
          </cell>
          <cell r="B1169" t="str">
            <v>PCCE</v>
          </cell>
          <cell r="C1169" t="str">
            <v>DLEP</v>
          </cell>
          <cell r="D1169" t="str">
            <v xml:space="preserve">MINISTERE DE L'HABITAT ET URBANISME </v>
          </cell>
          <cell r="E1169" t="str">
            <v>NK5.834.8.262.128.11.05</v>
          </cell>
          <cell r="F1169" t="str">
            <v>Réhab. siège de la  ( DLEP ) et réalisation  d'un logement de fonction d'accompagnement à M'sila</v>
          </cell>
        </row>
        <row r="1170">
          <cell r="A1170" t="str">
            <v>NK583481307</v>
          </cell>
          <cell r="B1170" t="str">
            <v>PCCE</v>
          </cell>
          <cell r="C1170" t="str">
            <v>d.tran</v>
          </cell>
          <cell r="D1170" t="str">
            <v xml:space="preserve">MINISTERE DES TRANSPORTS </v>
          </cell>
          <cell r="E1170" t="str">
            <v>NK5.834.8.262.128.13.07</v>
          </cell>
          <cell r="F1170" t="str">
            <v xml:space="preserve">Aménagement siège du transport </v>
          </cell>
        </row>
      </sheetData>
      <sheetData sheetId="1"/>
      <sheetData sheetId="2">
        <row r="2">
          <cell r="A2" t="str">
            <v>N-O</v>
          </cell>
        </row>
      </sheetData>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2"/>
      <sheetName val="PEC PAR ANNE"/>
      <sheetName val="OPERATION (2)"/>
      <sheetName val="list commune"/>
      <sheetName val="Feuil4"/>
      <sheetName val="Feuil6"/>
      <sheetName val="Feuil5"/>
      <sheetName val="2011"/>
      <sheetName val="ecrit"/>
      <sheetName val="cons par mois"/>
      <sheetName val="Feuil8"/>
      <sheetName val="PEC"/>
      <sheetName val="CONS"/>
      <sheetName val="2010-2013"/>
      <sheetName val="PRG HPجاز"/>
      <sheetName val="PRG05-09"/>
      <sheetName val="clot"/>
      <sheetName val="CLOTURE01"/>
      <sheetName val="Feuil3"/>
    </sheetNames>
    <sheetDataSet>
      <sheetData sheetId="0"/>
      <sheetData sheetId="1"/>
      <sheetData sheetId="2"/>
      <sheetData sheetId="3">
        <row r="3">
          <cell r="A3">
            <v>127</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E151"/>
  <sheetViews>
    <sheetView rightToLeft="1" tabSelected="1" view="pageBreakPreview" topLeftCell="A2" zoomScale="40" zoomScaleNormal="85" zoomScaleSheetLayoutView="40" workbookViewId="0">
      <selection activeCell="J5" sqref="J5"/>
    </sheetView>
  </sheetViews>
  <sheetFormatPr defaultColWidth="0" defaultRowHeight="0" customHeight="1" zeroHeight="1"/>
  <cols>
    <col min="1" max="1" width="9.28515625" style="146" customWidth="1"/>
    <col min="2" max="2" width="20.28515625" style="162" customWidth="1"/>
    <col min="3" max="3" width="19.7109375" style="162" customWidth="1"/>
    <col min="4" max="4" width="47" style="147" customWidth="1"/>
    <col min="5" max="5" width="49.7109375" style="147" customWidth="1"/>
    <col min="6" max="6" width="13.7109375" style="148" customWidth="1"/>
    <col min="7" max="7" width="13" style="149" customWidth="1"/>
    <col min="8" max="8" width="12.7109375" style="150" customWidth="1"/>
    <col min="9" max="9" width="54.42578125" style="151" customWidth="1"/>
    <col min="10" max="10" width="56.7109375" style="151" customWidth="1"/>
    <col min="11" max="11" width="51" style="151" hidden="1" customWidth="1"/>
    <col min="12" max="12" width="51.28515625" style="151" customWidth="1"/>
    <col min="13" max="13" width="14.5703125" style="152" customWidth="1"/>
    <col min="14" max="14" width="13.7109375" style="149" customWidth="1"/>
    <col min="15" max="15" width="21.85546875" style="149" customWidth="1"/>
    <col min="16" max="16" width="13.7109375" style="149" customWidth="1"/>
    <col min="17" max="17" width="14.28515625" style="149" customWidth="1"/>
    <col min="18" max="18" width="2.42578125" style="149" hidden="1" customWidth="1"/>
    <col min="19" max="19" width="17.7109375" style="154" customWidth="1"/>
    <col min="20" max="20" width="102.7109375" style="155" customWidth="1"/>
    <col min="21" max="21" width="12.28515625" style="156" customWidth="1"/>
    <col min="22" max="22" width="14.140625" style="157" customWidth="1"/>
    <col min="23" max="23" width="12.28515625" style="157" customWidth="1"/>
    <col min="24" max="24" width="12.28515625" style="163" customWidth="1"/>
    <col min="25" max="16384" width="12.28515625" style="149" hidden="1"/>
  </cols>
  <sheetData>
    <row r="1" spans="1:24" s="4" customFormat="1" ht="58.5" hidden="1" customHeight="1" thickTop="1">
      <c r="A1" s="172" t="s">
        <v>0</v>
      </c>
      <c r="B1" s="172"/>
      <c r="C1" s="172"/>
      <c r="D1" s="172"/>
      <c r="E1" s="172"/>
      <c r="F1" s="172"/>
      <c r="G1" s="172"/>
      <c r="H1" s="172"/>
      <c r="I1" s="172"/>
      <c r="J1" s="172"/>
      <c r="K1" s="172"/>
      <c r="L1" s="172"/>
      <c r="M1" s="172"/>
      <c r="N1" s="172"/>
      <c r="O1" s="172"/>
      <c r="P1" s="172"/>
      <c r="Q1" s="172"/>
      <c r="R1" s="172"/>
      <c r="S1" s="172"/>
      <c r="T1" s="172"/>
      <c r="U1" s="1"/>
      <c r="V1" s="2"/>
      <c r="W1" s="2"/>
      <c r="X1" s="3"/>
    </row>
    <row r="2" spans="1:24" s="9" customFormat="1" ht="87.75" customHeight="1" thickBot="1">
      <c r="A2" s="5" t="s">
        <v>1</v>
      </c>
      <c r="B2" s="5" t="s">
        <v>2</v>
      </c>
      <c r="C2" s="5" t="s">
        <v>3</v>
      </c>
      <c r="D2" s="173" t="s">
        <v>334</v>
      </c>
      <c r="E2" s="173"/>
      <c r="F2" s="5" t="s">
        <v>4</v>
      </c>
      <c r="G2" s="5" t="s">
        <v>344</v>
      </c>
      <c r="H2" s="5" t="s">
        <v>343</v>
      </c>
      <c r="I2" s="6" t="s">
        <v>336</v>
      </c>
      <c r="J2" s="6" t="s">
        <v>345</v>
      </c>
      <c r="K2" s="6" t="s">
        <v>5</v>
      </c>
      <c r="L2" s="6" t="s">
        <v>337</v>
      </c>
      <c r="M2" s="5" t="s">
        <v>338</v>
      </c>
      <c r="N2" s="5" t="s">
        <v>339</v>
      </c>
      <c r="O2" s="5" t="s">
        <v>340</v>
      </c>
      <c r="P2" s="5" t="s">
        <v>341</v>
      </c>
      <c r="Q2" s="5" t="s">
        <v>6</v>
      </c>
      <c r="R2" s="7"/>
      <c r="S2" s="5" t="s">
        <v>7</v>
      </c>
      <c r="T2" s="5" t="s">
        <v>342</v>
      </c>
      <c r="U2" s="8" t="s">
        <v>335</v>
      </c>
      <c r="V2" s="8" t="s">
        <v>331</v>
      </c>
      <c r="W2" s="8" t="s">
        <v>332</v>
      </c>
      <c r="X2" s="8" t="s">
        <v>333</v>
      </c>
    </row>
    <row r="3" spans="1:24" s="29" customFormat="1" ht="62.25" customHeight="1" thickBot="1">
      <c r="A3" s="10">
        <f>SUBTOTAL(3,$D$3:D3)</f>
        <v>1</v>
      </c>
      <c r="B3" s="11" t="s">
        <v>8</v>
      </c>
      <c r="C3" s="11" t="s">
        <v>8</v>
      </c>
      <c r="D3" s="174" t="s">
        <v>9</v>
      </c>
      <c r="E3" s="174"/>
      <c r="F3" s="12" t="s">
        <v>10</v>
      </c>
      <c r="G3" s="13" t="s">
        <v>11</v>
      </c>
      <c r="H3" s="13" t="s">
        <v>12</v>
      </c>
      <c r="I3" s="14">
        <v>40000000</v>
      </c>
      <c r="J3" s="15">
        <v>39830000</v>
      </c>
      <c r="K3" s="16">
        <f t="shared" ref="K3:K66" si="0">I3-J3</f>
        <v>170000</v>
      </c>
      <c r="L3" s="17"/>
      <c r="M3" s="18" t="s">
        <v>13</v>
      </c>
      <c r="N3" s="19" t="s">
        <v>14</v>
      </c>
      <c r="O3" s="20">
        <v>46181</v>
      </c>
      <c r="P3" s="21">
        <v>0.05</v>
      </c>
      <c r="Q3" s="22">
        <f t="shared" ref="Q3:Q66" si="1">L3/J3</f>
        <v>0</v>
      </c>
      <c r="R3" s="23"/>
      <c r="S3" s="24" t="s">
        <v>15</v>
      </c>
      <c r="T3" s="25" t="s">
        <v>16</v>
      </c>
      <c r="U3" s="26" t="s">
        <v>17</v>
      </c>
      <c r="V3" s="27" t="s">
        <v>18</v>
      </c>
      <c r="W3" s="27" t="s">
        <v>19</v>
      </c>
      <c r="X3" s="28"/>
    </row>
    <row r="4" spans="1:24" s="29" customFormat="1" ht="85.5" customHeight="1" thickBot="1">
      <c r="A4" s="10">
        <f>SUBTOTAL(3,$D$3:D4)</f>
        <v>2</v>
      </c>
      <c r="B4" s="11" t="s">
        <v>8</v>
      </c>
      <c r="C4" s="11" t="s">
        <v>8</v>
      </c>
      <c r="D4" s="174" t="s">
        <v>20</v>
      </c>
      <c r="E4" s="174"/>
      <c r="F4" s="12" t="s">
        <v>10</v>
      </c>
      <c r="G4" s="13" t="s">
        <v>21</v>
      </c>
      <c r="H4" s="13" t="s">
        <v>22</v>
      </c>
      <c r="I4" s="14">
        <v>12000000</v>
      </c>
      <c r="J4" s="15">
        <v>9043000</v>
      </c>
      <c r="K4" s="16">
        <f t="shared" si="0"/>
        <v>2957000</v>
      </c>
      <c r="L4" s="17"/>
      <c r="M4" s="30" t="s">
        <v>23</v>
      </c>
      <c r="N4" s="19" t="s">
        <v>24</v>
      </c>
      <c r="O4" s="20">
        <v>46181</v>
      </c>
      <c r="P4" s="21">
        <v>0.8</v>
      </c>
      <c r="Q4" s="22">
        <f t="shared" si="1"/>
        <v>0</v>
      </c>
      <c r="R4" s="23"/>
      <c r="S4" s="24" t="s">
        <v>15</v>
      </c>
      <c r="T4" s="25" t="s">
        <v>16</v>
      </c>
      <c r="U4" s="26" t="s">
        <v>17</v>
      </c>
      <c r="V4" s="27" t="s">
        <v>18</v>
      </c>
      <c r="W4" s="27" t="s">
        <v>19</v>
      </c>
      <c r="X4" s="28"/>
    </row>
    <row r="5" spans="1:24" s="29" customFormat="1" ht="123" customHeight="1" thickBot="1">
      <c r="A5" s="10">
        <f>SUBTOTAL(3,$D$3:D5)</f>
        <v>3</v>
      </c>
      <c r="B5" s="11" t="s">
        <v>8</v>
      </c>
      <c r="C5" s="11" t="s">
        <v>8</v>
      </c>
      <c r="D5" s="174" t="s">
        <v>25</v>
      </c>
      <c r="E5" s="174"/>
      <c r="F5" s="12" t="s">
        <v>10</v>
      </c>
      <c r="G5" s="13" t="s">
        <v>26</v>
      </c>
      <c r="H5" s="13" t="s">
        <v>22</v>
      </c>
      <c r="I5" s="14">
        <v>10000000</v>
      </c>
      <c r="J5" s="15">
        <v>9271000</v>
      </c>
      <c r="K5" s="16">
        <f t="shared" si="0"/>
        <v>729000</v>
      </c>
      <c r="L5" s="17"/>
      <c r="M5" s="30" t="s">
        <v>23</v>
      </c>
      <c r="N5" s="19" t="s">
        <v>27</v>
      </c>
      <c r="O5" s="20"/>
      <c r="P5" s="21"/>
      <c r="Q5" s="22">
        <f t="shared" si="1"/>
        <v>0</v>
      </c>
      <c r="R5" s="23"/>
      <c r="S5" s="31" t="s">
        <v>28</v>
      </c>
      <c r="T5" s="32" t="s">
        <v>29</v>
      </c>
      <c r="U5" s="26" t="s">
        <v>17</v>
      </c>
      <c r="V5" s="27" t="s">
        <v>18</v>
      </c>
      <c r="W5" s="27" t="s">
        <v>19</v>
      </c>
      <c r="X5" s="28"/>
    </row>
    <row r="6" spans="1:24" s="29" customFormat="1" ht="102" customHeight="1" thickBot="1">
      <c r="A6" s="10">
        <f>SUBTOTAL(3,$D$3:D6)</f>
        <v>4</v>
      </c>
      <c r="B6" s="11" t="s">
        <v>8</v>
      </c>
      <c r="C6" s="11" t="s">
        <v>8</v>
      </c>
      <c r="D6" s="174" t="s">
        <v>30</v>
      </c>
      <c r="E6" s="174"/>
      <c r="F6" s="12" t="s">
        <v>10</v>
      </c>
      <c r="G6" s="13" t="s">
        <v>31</v>
      </c>
      <c r="H6" s="13" t="s">
        <v>32</v>
      </c>
      <c r="I6" s="14">
        <v>11000000</v>
      </c>
      <c r="J6" s="15">
        <v>10021000</v>
      </c>
      <c r="K6" s="16">
        <f t="shared" si="0"/>
        <v>979000</v>
      </c>
      <c r="L6" s="17"/>
      <c r="M6" s="18" t="s">
        <v>33</v>
      </c>
      <c r="N6" s="19" t="s">
        <v>34</v>
      </c>
      <c r="O6" s="20"/>
      <c r="P6" s="21"/>
      <c r="Q6" s="22">
        <f t="shared" si="1"/>
        <v>0</v>
      </c>
      <c r="R6" s="23"/>
      <c r="S6" s="24" t="s">
        <v>28</v>
      </c>
      <c r="T6" s="33" t="s">
        <v>35</v>
      </c>
      <c r="U6" s="26" t="s">
        <v>17</v>
      </c>
      <c r="V6" s="27" t="s">
        <v>18</v>
      </c>
      <c r="W6" s="27" t="s">
        <v>19</v>
      </c>
      <c r="X6" s="28"/>
    </row>
    <row r="7" spans="1:24" s="29" customFormat="1" ht="66" customHeight="1" thickBot="1">
      <c r="A7" s="10">
        <f>SUBTOTAL(3,$D$3:D7)</f>
        <v>5</v>
      </c>
      <c r="B7" s="11" t="s">
        <v>8</v>
      </c>
      <c r="C7" s="11" t="s">
        <v>8</v>
      </c>
      <c r="D7" s="174" t="s">
        <v>36</v>
      </c>
      <c r="E7" s="174"/>
      <c r="F7" s="12" t="s">
        <v>10</v>
      </c>
      <c r="G7" s="13" t="s">
        <v>11</v>
      </c>
      <c r="H7" s="13" t="s">
        <v>12</v>
      </c>
      <c r="I7" s="14">
        <v>30000000</v>
      </c>
      <c r="J7" s="15">
        <v>33973000</v>
      </c>
      <c r="K7" s="16">
        <f t="shared" si="0"/>
        <v>-3973000</v>
      </c>
      <c r="L7" s="17"/>
      <c r="M7" s="18" t="s">
        <v>37</v>
      </c>
      <c r="N7" s="19" t="s">
        <v>38</v>
      </c>
      <c r="O7" s="20">
        <v>46181</v>
      </c>
      <c r="P7" s="21">
        <v>0.55000000000000004</v>
      </c>
      <c r="Q7" s="22">
        <f t="shared" si="1"/>
        <v>0</v>
      </c>
      <c r="R7" s="23"/>
      <c r="S7" s="24" t="s">
        <v>15</v>
      </c>
      <c r="T7" s="25" t="s">
        <v>16</v>
      </c>
      <c r="U7" s="26" t="s">
        <v>17</v>
      </c>
      <c r="V7" s="27" t="s">
        <v>18</v>
      </c>
      <c r="W7" s="27" t="s">
        <v>19</v>
      </c>
      <c r="X7" s="28"/>
    </row>
    <row r="8" spans="1:24" s="29" customFormat="1" ht="66" customHeight="1" thickBot="1">
      <c r="A8" s="10">
        <f>SUBTOTAL(3,$D$3:D8)</f>
        <v>6</v>
      </c>
      <c r="B8" s="11" t="s">
        <v>8</v>
      </c>
      <c r="C8" s="11" t="s">
        <v>8</v>
      </c>
      <c r="D8" s="174" t="s">
        <v>39</v>
      </c>
      <c r="E8" s="174"/>
      <c r="F8" s="12" t="s">
        <v>10</v>
      </c>
      <c r="G8" s="13" t="s">
        <v>11</v>
      </c>
      <c r="H8" s="13" t="s">
        <v>12</v>
      </c>
      <c r="I8" s="14">
        <v>20000000</v>
      </c>
      <c r="J8" s="15">
        <v>20098000</v>
      </c>
      <c r="K8" s="16">
        <f t="shared" si="0"/>
        <v>-98000</v>
      </c>
      <c r="L8" s="17"/>
      <c r="M8" s="18" t="s">
        <v>40</v>
      </c>
      <c r="N8" s="19" t="s">
        <v>41</v>
      </c>
      <c r="O8" s="20">
        <v>46181</v>
      </c>
      <c r="P8" s="21">
        <v>0.4</v>
      </c>
      <c r="Q8" s="22">
        <f t="shared" si="1"/>
        <v>0</v>
      </c>
      <c r="R8" s="23"/>
      <c r="S8" s="24" t="s">
        <v>15</v>
      </c>
      <c r="T8" s="25" t="s">
        <v>16</v>
      </c>
      <c r="U8" s="26" t="s">
        <v>17</v>
      </c>
      <c r="V8" s="34" t="s">
        <v>18</v>
      </c>
      <c r="W8" s="34" t="s">
        <v>19</v>
      </c>
      <c r="X8" s="35"/>
    </row>
    <row r="9" spans="1:24" s="29" customFormat="1" ht="87.75" customHeight="1" thickBot="1">
      <c r="A9" s="10">
        <f>SUBTOTAL(3,$D$3:D9)</f>
        <v>7</v>
      </c>
      <c r="B9" s="11" t="s">
        <v>8</v>
      </c>
      <c r="C9" s="11" t="s">
        <v>8</v>
      </c>
      <c r="D9" s="174" t="s">
        <v>42</v>
      </c>
      <c r="E9" s="174"/>
      <c r="F9" s="12" t="s">
        <v>10</v>
      </c>
      <c r="G9" s="13" t="s">
        <v>43</v>
      </c>
      <c r="H9" s="13" t="s">
        <v>44</v>
      </c>
      <c r="I9" s="36">
        <v>50000000</v>
      </c>
      <c r="J9" s="15">
        <v>44024000</v>
      </c>
      <c r="K9" s="16">
        <f t="shared" si="0"/>
        <v>5976000</v>
      </c>
      <c r="L9" s="17"/>
      <c r="M9" s="18" t="s">
        <v>45</v>
      </c>
      <c r="N9" s="19" t="s">
        <v>46</v>
      </c>
      <c r="O9" s="20">
        <v>46211</v>
      </c>
      <c r="P9" s="21"/>
      <c r="Q9" s="22">
        <f t="shared" si="1"/>
        <v>0</v>
      </c>
      <c r="R9" s="23"/>
      <c r="S9" s="24" t="s">
        <v>15</v>
      </c>
      <c r="T9" s="25" t="s">
        <v>47</v>
      </c>
      <c r="U9" s="26" t="s">
        <v>17</v>
      </c>
      <c r="V9" s="34" t="s">
        <v>48</v>
      </c>
      <c r="W9" s="34" t="s">
        <v>19</v>
      </c>
      <c r="X9" s="35"/>
    </row>
    <row r="10" spans="1:24" s="29" customFormat="1" ht="87.75" customHeight="1" thickBot="1">
      <c r="A10" s="10">
        <f>SUBTOTAL(3,$D$3:D10)</f>
        <v>8</v>
      </c>
      <c r="B10" s="11" t="s">
        <v>8</v>
      </c>
      <c r="C10" s="11" t="s">
        <v>8</v>
      </c>
      <c r="D10" s="175" t="s">
        <v>49</v>
      </c>
      <c r="E10" s="176"/>
      <c r="F10" s="12" t="s">
        <v>10</v>
      </c>
      <c r="G10" s="13" t="s">
        <v>50</v>
      </c>
      <c r="H10" s="13" t="s">
        <v>12</v>
      </c>
      <c r="I10" s="36">
        <v>0</v>
      </c>
      <c r="J10" s="15">
        <v>23600000</v>
      </c>
      <c r="K10" s="16">
        <f t="shared" si="0"/>
        <v>-23600000</v>
      </c>
      <c r="L10" s="17"/>
      <c r="M10" s="18"/>
      <c r="N10" s="19"/>
      <c r="O10" s="20"/>
      <c r="P10" s="21"/>
      <c r="Q10" s="22"/>
      <c r="R10" s="23"/>
      <c r="S10" s="24" t="s">
        <v>51</v>
      </c>
      <c r="T10" s="37" t="s">
        <v>52</v>
      </c>
      <c r="U10" s="38" t="s">
        <v>53</v>
      </c>
      <c r="V10" s="34"/>
      <c r="W10" s="34" t="s">
        <v>54</v>
      </c>
      <c r="X10" s="35"/>
    </row>
    <row r="11" spans="1:24" s="44" customFormat="1" ht="128.25" customHeight="1" thickBot="1">
      <c r="A11" s="10">
        <f>SUBTOTAL(3,$D$3:D11)</f>
        <v>9</v>
      </c>
      <c r="B11" s="11" t="s">
        <v>8</v>
      </c>
      <c r="C11" s="11" t="s">
        <v>55</v>
      </c>
      <c r="D11" s="174" t="s">
        <v>56</v>
      </c>
      <c r="E11" s="174"/>
      <c r="F11" s="12" t="s">
        <v>10</v>
      </c>
      <c r="G11" s="13" t="s">
        <v>11</v>
      </c>
      <c r="H11" s="13" t="s">
        <v>12</v>
      </c>
      <c r="I11" s="39">
        <v>20000000</v>
      </c>
      <c r="J11" s="15">
        <v>20208000</v>
      </c>
      <c r="K11" s="16">
        <f t="shared" si="0"/>
        <v>-208000</v>
      </c>
      <c r="L11" s="16"/>
      <c r="M11" s="18" t="s">
        <v>57</v>
      </c>
      <c r="N11" s="40" t="s">
        <v>58</v>
      </c>
      <c r="O11" s="41">
        <v>46174</v>
      </c>
      <c r="P11" s="21">
        <v>0.5</v>
      </c>
      <c r="Q11" s="22">
        <f t="shared" ref="Q11:Q16" si="2">L11/J11</f>
        <v>0</v>
      </c>
      <c r="R11" s="42"/>
      <c r="S11" s="24" t="s">
        <v>15</v>
      </c>
      <c r="T11" s="43" t="s">
        <v>59</v>
      </c>
      <c r="U11" s="26" t="s">
        <v>17</v>
      </c>
      <c r="V11" s="27" t="s">
        <v>18</v>
      </c>
      <c r="W11" s="27" t="s">
        <v>19</v>
      </c>
      <c r="X11" s="28"/>
    </row>
    <row r="12" spans="1:24" s="44" customFormat="1" ht="96" customHeight="1" thickBot="1">
      <c r="A12" s="10">
        <f>SUBTOTAL(3,$D$3:D12)</f>
        <v>10</v>
      </c>
      <c r="B12" s="11" t="s">
        <v>8</v>
      </c>
      <c r="C12" s="11" t="s">
        <v>55</v>
      </c>
      <c r="D12" s="174" t="s">
        <v>60</v>
      </c>
      <c r="E12" s="174"/>
      <c r="F12" s="12" t="s">
        <v>10</v>
      </c>
      <c r="G12" s="13" t="s">
        <v>11</v>
      </c>
      <c r="H12" s="13" t="s">
        <v>12</v>
      </c>
      <c r="I12" s="45">
        <v>12000000</v>
      </c>
      <c r="J12" s="15">
        <v>11997000</v>
      </c>
      <c r="K12" s="16">
        <f t="shared" si="0"/>
        <v>3000</v>
      </c>
      <c r="L12" s="16"/>
      <c r="M12" s="18" t="s">
        <v>61</v>
      </c>
      <c r="N12" s="40" t="s">
        <v>62</v>
      </c>
      <c r="O12" s="41"/>
      <c r="P12" s="21"/>
      <c r="Q12" s="22">
        <f t="shared" si="2"/>
        <v>0</v>
      </c>
      <c r="R12" s="42"/>
      <c r="S12" s="24" t="s">
        <v>28</v>
      </c>
      <c r="T12" s="46" t="s">
        <v>63</v>
      </c>
      <c r="U12" s="26" t="s">
        <v>17</v>
      </c>
      <c r="V12" s="27" t="s">
        <v>18</v>
      </c>
      <c r="W12" s="27" t="s">
        <v>19</v>
      </c>
      <c r="X12" s="28" t="s">
        <v>64</v>
      </c>
    </row>
    <row r="13" spans="1:24" s="44" customFormat="1" ht="54" customHeight="1" thickBot="1">
      <c r="A13" s="10">
        <f>SUBTOTAL(3,$D$3:D13)</f>
        <v>11</v>
      </c>
      <c r="B13" s="11" t="s">
        <v>8</v>
      </c>
      <c r="C13" s="11" t="s">
        <v>55</v>
      </c>
      <c r="D13" s="174" t="s">
        <v>65</v>
      </c>
      <c r="E13" s="174"/>
      <c r="F13" s="12" t="s">
        <v>10</v>
      </c>
      <c r="G13" s="13" t="s">
        <v>11</v>
      </c>
      <c r="H13" s="13" t="s">
        <v>12</v>
      </c>
      <c r="I13" s="39">
        <v>15000000</v>
      </c>
      <c r="J13" s="15">
        <v>14792000</v>
      </c>
      <c r="K13" s="16">
        <f t="shared" si="0"/>
        <v>208000</v>
      </c>
      <c r="L13" s="16"/>
      <c r="M13" s="18" t="s">
        <v>66</v>
      </c>
      <c r="N13" s="40" t="s">
        <v>67</v>
      </c>
      <c r="O13" s="41">
        <v>46174</v>
      </c>
      <c r="P13" s="21">
        <v>0.7</v>
      </c>
      <c r="Q13" s="22">
        <f t="shared" si="2"/>
        <v>0</v>
      </c>
      <c r="R13" s="42"/>
      <c r="S13" s="24" t="s">
        <v>15</v>
      </c>
      <c r="T13" s="43" t="s">
        <v>59</v>
      </c>
      <c r="U13" s="26" t="s">
        <v>17</v>
      </c>
      <c r="V13" s="27" t="s">
        <v>18</v>
      </c>
      <c r="W13" s="27" t="s">
        <v>19</v>
      </c>
      <c r="X13" s="28"/>
    </row>
    <row r="14" spans="1:24" s="44" customFormat="1" ht="49.5" customHeight="1" thickBot="1">
      <c r="A14" s="10">
        <f>SUBTOTAL(3,$D$3:D14)</f>
        <v>12</v>
      </c>
      <c r="B14" s="11" t="s">
        <v>8</v>
      </c>
      <c r="C14" s="11" t="s">
        <v>55</v>
      </c>
      <c r="D14" s="174" t="s">
        <v>68</v>
      </c>
      <c r="E14" s="174"/>
      <c r="F14" s="12" t="s">
        <v>10</v>
      </c>
      <c r="G14" s="13" t="s">
        <v>50</v>
      </c>
      <c r="H14" s="13" t="s">
        <v>12</v>
      </c>
      <c r="I14" s="39">
        <v>10981000</v>
      </c>
      <c r="J14" s="15">
        <v>10981000</v>
      </c>
      <c r="K14" s="16">
        <f t="shared" si="0"/>
        <v>0</v>
      </c>
      <c r="L14" s="16"/>
      <c r="M14" s="18" t="s">
        <v>69</v>
      </c>
      <c r="N14" s="40" t="s">
        <v>41</v>
      </c>
      <c r="O14" s="20">
        <v>46145</v>
      </c>
      <c r="P14" s="21">
        <v>0.95</v>
      </c>
      <c r="Q14" s="22">
        <f t="shared" si="2"/>
        <v>0</v>
      </c>
      <c r="R14" s="42"/>
      <c r="S14" s="24" t="s">
        <v>15</v>
      </c>
      <c r="T14" s="43" t="s">
        <v>16</v>
      </c>
      <c r="U14" s="26" t="s">
        <v>17</v>
      </c>
      <c r="V14" s="27" t="s">
        <v>18</v>
      </c>
      <c r="W14" s="27" t="s">
        <v>19</v>
      </c>
      <c r="X14" s="28"/>
    </row>
    <row r="15" spans="1:24" s="44" customFormat="1" ht="116.25" customHeight="1" thickBot="1">
      <c r="A15" s="10">
        <f>SUBTOTAL(3,$D$3:D15)</f>
        <v>13</v>
      </c>
      <c r="B15" s="11" t="s">
        <v>8</v>
      </c>
      <c r="C15" s="11" t="s">
        <v>55</v>
      </c>
      <c r="D15" s="174" t="s">
        <v>70</v>
      </c>
      <c r="E15" s="174"/>
      <c r="F15" s="12" t="s">
        <v>10</v>
      </c>
      <c r="G15" s="47" t="s">
        <v>71</v>
      </c>
      <c r="H15" s="47" t="s">
        <v>32</v>
      </c>
      <c r="I15" s="39">
        <v>3962000</v>
      </c>
      <c r="J15" s="15">
        <v>3962000</v>
      </c>
      <c r="K15" s="16">
        <f t="shared" si="0"/>
        <v>0</v>
      </c>
      <c r="L15" s="16"/>
      <c r="M15" s="18" t="s">
        <v>72</v>
      </c>
      <c r="N15" s="40" t="s">
        <v>38</v>
      </c>
      <c r="O15" s="41"/>
      <c r="P15" s="21"/>
      <c r="Q15" s="22">
        <f t="shared" si="2"/>
        <v>0</v>
      </c>
      <c r="R15" s="42"/>
      <c r="S15" s="24" t="s">
        <v>28</v>
      </c>
      <c r="T15" s="48" t="s">
        <v>73</v>
      </c>
      <c r="U15" s="26" t="s">
        <v>17</v>
      </c>
      <c r="V15" s="27" t="s">
        <v>18</v>
      </c>
      <c r="W15" s="27" t="s">
        <v>19</v>
      </c>
      <c r="X15" s="28" t="s">
        <v>64</v>
      </c>
    </row>
    <row r="16" spans="1:24" s="44" customFormat="1" ht="106.5" customHeight="1" thickBot="1">
      <c r="A16" s="10">
        <f>SUBTOTAL(3,$D$3:D16)</f>
        <v>14</v>
      </c>
      <c r="B16" s="11" t="s">
        <v>8</v>
      </c>
      <c r="C16" s="11" t="s">
        <v>55</v>
      </c>
      <c r="D16" s="174" t="s">
        <v>74</v>
      </c>
      <c r="E16" s="174"/>
      <c r="F16" s="12" t="s">
        <v>10</v>
      </c>
      <c r="G16" s="49" t="s">
        <v>21</v>
      </c>
      <c r="H16" s="49" t="s">
        <v>22</v>
      </c>
      <c r="I16" s="39">
        <v>11930000</v>
      </c>
      <c r="J16" s="15">
        <v>11930000</v>
      </c>
      <c r="K16" s="16">
        <f t="shared" si="0"/>
        <v>0</v>
      </c>
      <c r="L16" s="16"/>
      <c r="M16" s="18" t="s">
        <v>23</v>
      </c>
      <c r="N16" s="40" t="s">
        <v>38</v>
      </c>
      <c r="O16" s="20">
        <v>46145</v>
      </c>
      <c r="P16" s="21">
        <v>0.8</v>
      </c>
      <c r="Q16" s="22">
        <f t="shared" si="2"/>
        <v>0</v>
      </c>
      <c r="R16" s="42"/>
      <c r="S16" s="24" t="s">
        <v>15</v>
      </c>
      <c r="T16" s="43" t="s">
        <v>16</v>
      </c>
      <c r="U16" s="26" t="s">
        <v>17</v>
      </c>
      <c r="V16" s="27" t="s">
        <v>18</v>
      </c>
      <c r="W16" s="27" t="s">
        <v>19</v>
      </c>
      <c r="X16" s="28"/>
    </row>
    <row r="17" spans="1:24" s="44" customFormat="1" ht="56.25" customHeight="1" thickBot="1">
      <c r="A17" s="10">
        <f>SUBTOTAL(3,$D$3:D17)</f>
        <v>15</v>
      </c>
      <c r="B17" s="11" t="s">
        <v>8</v>
      </c>
      <c r="C17" s="11" t="s">
        <v>75</v>
      </c>
      <c r="D17" s="174" t="s">
        <v>76</v>
      </c>
      <c r="E17" s="174"/>
      <c r="F17" s="12" t="s">
        <v>10</v>
      </c>
      <c r="G17" s="13" t="s">
        <v>21</v>
      </c>
      <c r="H17" s="13" t="s">
        <v>22</v>
      </c>
      <c r="I17" s="39">
        <v>7202000</v>
      </c>
      <c r="J17" s="15">
        <v>7202000</v>
      </c>
      <c r="K17" s="16">
        <f t="shared" si="0"/>
        <v>0</v>
      </c>
      <c r="L17" s="17"/>
      <c r="M17" s="18" t="s">
        <v>23</v>
      </c>
      <c r="N17" s="19" t="s">
        <v>77</v>
      </c>
      <c r="O17" s="20">
        <v>46125</v>
      </c>
      <c r="P17" s="21">
        <v>0.8</v>
      </c>
      <c r="Q17" s="22">
        <f t="shared" si="1"/>
        <v>0</v>
      </c>
      <c r="R17" s="50"/>
      <c r="S17" s="24" t="s">
        <v>15</v>
      </c>
      <c r="T17" s="43" t="s">
        <v>59</v>
      </c>
      <c r="U17" s="26" t="s">
        <v>17</v>
      </c>
      <c r="V17" s="27" t="s">
        <v>18</v>
      </c>
      <c r="W17" s="27" t="s">
        <v>19</v>
      </c>
      <c r="X17" s="28"/>
    </row>
    <row r="18" spans="1:24" s="44" customFormat="1" ht="72.75" customHeight="1" thickBot="1">
      <c r="A18" s="10">
        <f>SUBTOTAL(3,$D$3:D18)</f>
        <v>16</v>
      </c>
      <c r="B18" s="11" t="s">
        <v>8</v>
      </c>
      <c r="C18" s="11" t="s">
        <v>75</v>
      </c>
      <c r="D18" s="174" t="s">
        <v>78</v>
      </c>
      <c r="E18" s="174"/>
      <c r="F18" s="12" t="s">
        <v>10</v>
      </c>
      <c r="G18" s="13" t="s">
        <v>21</v>
      </c>
      <c r="H18" s="13" t="s">
        <v>22</v>
      </c>
      <c r="I18" s="39">
        <v>7374000</v>
      </c>
      <c r="J18" s="15">
        <v>7374000</v>
      </c>
      <c r="K18" s="16">
        <f t="shared" si="0"/>
        <v>0</v>
      </c>
      <c r="L18" s="15">
        <v>7373525.5999999996</v>
      </c>
      <c r="M18" s="18" t="s">
        <v>79</v>
      </c>
      <c r="N18" s="19" t="s">
        <v>38</v>
      </c>
      <c r="O18" s="20">
        <v>46125</v>
      </c>
      <c r="P18" s="21">
        <v>1</v>
      </c>
      <c r="Q18" s="22">
        <f t="shared" si="1"/>
        <v>0.99993566585299698</v>
      </c>
      <c r="R18" s="50"/>
      <c r="S18" s="51" t="s">
        <v>80</v>
      </c>
      <c r="T18" s="52" t="s">
        <v>81</v>
      </c>
      <c r="U18" s="26" t="s">
        <v>17</v>
      </c>
      <c r="V18" s="27" t="s">
        <v>18</v>
      </c>
      <c r="W18" s="27" t="s">
        <v>19</v>
      </c>
      <c r="X18" s="28"/>
    </row>
    <row r="19" spans="1:24" s="44" customFormat="1" ht="74.25" customHeight="1" thickBot="1">
      <c r="A19" s="10">
        <f>SUBTOTAL(3,$D$3:D19)</f>
        <v>17</v>
      </c>
      <c r="B19" s="11" t="s">
        <v>8</v>
      </c>
      <c r="C19" s="11" t="s">
        <v>75</v>
      </c>
      <c r="D19" s="174" t="s">
        <v>82</v>
      </c>
      <c r="E19" s="174"/>
      <c r="F19" s="12" t="s">
        <v>10</v>
      </c>
      <c r="G19" s="53" t="s">
        <v>26</v>
      </c>
      <c r="H19" s="49" t="s">
        <v>22</v>
      </c>
      <c r="I19" s="39">
        <v>5072000</v>
      </c>
      <c r="J19" s="15">
        <v>5072000</v>
      </c>
      <c r="K19" s="16">
        <f t="shared" si="0"/>
        <v>0</v>
      </c>
      <c r="L19" s="17"/>
      <c r="M19" s="18" t="s">
        <v>40</v>
      </c>
      <c r="N19" s="19" t="s">
        <v>83</v>
      </c>
      <c r="O19" s="20">
        <v>46125</v>
      </c>
      <c r="P19" s="21">
        <v>0.1</v>
      </c>
      <c r="Q19" s="22">
        <f t="shared" si="1"/>
        <v>0</v>
      </c>
      <c r="R19" s="50"/>
      <c r="S19" s="24" t="s">
        <v>15</v>
      </c>
      <c r="T19" s="43" t="s">
        <v>84</v>
      </c>
      <c r="U19" s="26" t="s">
        <v>17</v>
      </c>
      <c r="V19" s="27" t="s">
        <v>18</v>
      </c>
      <c r="W19" s="27" t="s">
        <v>19</v>
      </c>
      <c r="X19" s="28"/>
    </row>
    <row r="20" spans="1:24" s="44" customFormat="1" ht="74.25" customHeight="1" thickBot="1">
      <c r="A20" s="10">
        <v>17</v>
      </c>
      <c r="B20" s="11" t="s">
        <v>8</v>
      </c>
      <c r="C20" s="11" t="s">
        <v>75</v>
      </c>
      <c r="D20" s="174" t="s">
        <v>85</v>
      </c>
      <c r="E20" s="174"/>
      <c r="F20" s="12" t="s">
        <v>10</v>
      </c>
      <c r="G20" s="53" t="s">
        <v>26</v>
      </c>
      <c r="H20" s="49" t="s">
        <v>22</v>
      </c>
      <c r="I20" s="39">
        <v>5705000</v>
      </c>
      <c r="J20" s="15">
        <v>5705000</v>
      </c>
      <c r="K20" s="16">
        <f t="shared" si="0"/>
        <v>0</v>
      </c>
      <c r="L20" s="17"/>
      <c r="M20" s="18" t="s">
        <v>23</v>
      </c>
      <c r="N20" s="19" t="s">
        <v>86</v>
      </c>
      <c r="O20" s="20">
        <v>46125</v>
      </c>
      <c r="P20" s="21">
        <v>0.35</v>
      </c>
      <c r="Q20" s="22">
        <f t="shared" si="1"/>
        <v>0</v>
      </c>
      <c r="R20" s="50"/>
      <c r="S20" s="24" t="s">
        <v>15</v>
      </c>
      <c r="T20" s="43" t="s">
        <v>16</v>
      </c>
      <c r="U20" s="26" t="s">
        <v>17</v>
      </c>
      <c r="V20" s="27" t="s">
        <v>18</v>
      </c>
      <c r="W20" s="27" t="s">
        <v>19</v>
      </c>
      <c r="X20" s="28"/>
    </row>
    <row r="21" spans="1:24" s="44" customFormat="1" ht="74.25" customHeight="1" thickBot="1">
      <c r="A21" s="10">
        <f>SUBTOTAL(3,$D$3:D21)</f>
        <v>19</v>
      </c>
      <c r="B21" s="11" t="s">
        <v>8</v>
      </c>
      <c r="C21" s="11" t="s">
        <v>75</v>
      </c>
      <c r="D21" s="174" t="s">
        <v>87</v>
      </c>
      <c r="E21" s="174"/>
      <c r="F21" s="12" t="s">
        <v>10</v>
      </c>
      <c r="G21" s="53" t="s">
        <v>26</v>
      </c>
      <c r="H21" s="49" t="s">
        <v>22</v>
      </c>
      <c r="I21" s="39">
        <v>1689000</v>
      </c>
      <c r="J21" s="15">
        <v>1689000</v>
      </c>
      <c r="K21" s="16">
        <f t="shared" si="0"/>
        <v>0</v>
      </c>
      <c r="L21" s="17"/>
      <c r="M21" s="18" t="s">
        <v>40</v>
      </c>
      <c r="N21" s="19" t="s">
        <v>88</v>
      </c>
      <c r="O21" s="20">
        <v>46125</v>
      </c>
      <c r="P21" s="21">
        <v>0.1</v>
      </c>
      <c r="Q21" s="22">
        <f t="shared" si="1"/>
        <v>0</v>
      </c>
      <c r="R21" s="50"/>
      <c r="S21" s="24" t="s">
        <v>15</v>
      </c>
      <c r="T21" s="43" t="s">
        <v>84</v>
      </c>
      <c r="U21" s="26" t="s">
        <v>17</v>
      </c>
      <c r="V21" s="27" t="s">
        <v>18</v>
      </c>
      <c r="W21" s="27" t="s">
        <v>19</v>
      </c>
      <c r="X21" s="28"/>
    </row>
    <row r="22" spans="1:24" s="44" customFormat="1" ht="57.75" customHeight="1" thickBot="1">
      <c r="A22" s="10">
        <f>SUBTOTAL(3,$D$3:D22)</f>
        <v>20</v>
      </c>
      <c r="B22" s="11" t="s">
        <v>8</v>
      </c>
      <c r="C22" s="11" t="s">
        <v>75</v>
      </c>
      <c r="D22" s="174" t="s">
        <v>89</v>
      </c>
      <c r="E22" s="174"/>
      <c r="F22" s="12" t="s">
        <v>10</v>
      </c>
      <c r="G22" s="13" t="s">
        <v>11</v>
      </c>
      <c r="H22" s="13" t="s">
        <v>12</v>
      </c>
      <c r="I22" s="39">
        <v>9896000</v>
      </c>
      <c r="J22" s="15">
        <v>9896000</v>
      </c>
      <c r="K22" s="16">
        <f t="shared" si="0"/>
        <v>0</v>
      </c>
      <c r="L22" s="17"/>
      <c r="M22" s="18" t="s">
        <v>90</v>
      </c>
      <c r="N22" s="19" t="s">
        <v>77</v>
      </c>
      <c r="O22" s="20">
        <v>46125</v>
      </c>
      <c r="P22" s="21">
        <v>0.85</v>
      </c>
      <c r="Q22" s="22">
        <f t="shared" si="1"/>
        <v>0</v>
      </c>
      <c r="R22" s="50"/>
      <c r="S22" s="24" t="s">
        <v>15</v>
      </c>
      <c r="T22" s="43" t="s">
        <v>16</v>
      </c>
      <c r="U22" s="26" t="s">
        <v>17</v>
      </c>
      <c r="V22" s="27" t="s">
        <v>18</v>
      </c>
      <c r="W22" s="27" t="s">
        <v>19</v>
      </c>
      <c r="X22" s="28"/>
    </row>
    <row r="23" spans="1:24" s="29" customFormat="1" ht="113.25" customHeight="1" thickBot="1">
      <c r="A23" s="10">
        <f>SUBTOTAL(3,$D$3:D23)</f>
        <v>21</v>
      </c>
      <c r="B23" s="11" t="s">
        <v>91</v>
      </c>
      <c r="C23" s="11" t="s">
        <v>91</v>
      </c>
      <c r="D23" s="174" t="s">
        <v>92</v>
      </c>
      <c r="E23" s="174"/>
      <c r="F23" s="12" t="s">
        <v>10</v>
      </c>
      <c r="G23" s="49" t="s">
        <v>21</v>
      </c>
      <c r="H23" s="49" t="s">
        <v>22</v>
      </c>
      <c r="I23" s="39">
        <v>8500000</v>
      </c>
      <c r="J23" s="15">
        <f>6974000+247000</f>
        <v>7221000</v>
      </c>
      <c r="K23" s="16">
        <f t="shared" si="0"/>
        <v>1279000</v>
      </c>
      <c r="L23" s="17"/>
      <c r="M23" s="54" t="s">
        <v>93</v>
      </c>
      <c r="N23" s="55" t="s">
        <v>38</v>
      </c>
      <c r="O23" s="20"/>
      <c r="P23" s="21"/>
      <c r="Q23" s="22">
        <f t="shared" si="1"/>
        <v>0</v>
      </c>
      <c r="R23" s="50"/>
      <c r="S23" s="24" t="s">
        <v>94</v>
      </c>
      <c r="T23" s="43" t="s">
        <v>95</v>
      </c>
      <c r="U23" s="26" t="s">
        <v>17</v>
      </c>
      <c r="V23" s="27" t="s">
        <v>18</v>
      </c>
      <c r="W23" s="27" t="s">
        <v>19</v>
      </c>
      <c r="X23" s="28"/>
    </row>
    <row r="24" spans="1:24" s="29" customFormat="1" ht="114" customHeight="1" thickBot="1">
      <c r="A24" s="10">
        <f>SUBTOTAL(3,$D$3:D24)</f>
        <v>22</v>
      </c>
      <c r="B24" s="11" t="s">
        <v>91</v>
      </c>
      <c r="C24" s="11" t="s">
        <v>91</v>
      </c>
      <c r="D24" s="174" t="s">
        <v>96</v>
      </c>
      <c r="E24" s="174"/>
      <c r="F24" s="12" t="s">
        <v>10</v>
      </c>
      <c r="G24" s="56" t="s">
        <v>26</v>
      </c>
      <c r="H24" s="13" t="s">
        <v>22</v>
      </c>
      <c r="I24" s="39">
        <v>8500000</v>
      </c>
      <c r="J24" s="15">
        <v>4541000</v>
      </c>
      <c r="K24" s="16">
        <f t="shared" si="0"/>
        <v>3959000</v>
      </c>
      <c r="L24" s="17"/>
      <c r="M24" s="18" t="s">
        <v>97</v>
      </c>
      <c r="N24" s="19" t="s">
        <v>38</v>
      </c>
      <c r="O24" s="20">
        <v>46118</v>
      </c>
      <c r="P24" s="21">
        <v>1</v>
      </c>
      <c r="Q24" s="22">
        <f t="shared" si="1"/>
        <v>0</v>
      </c>
      <c r="R24" s="50"/>
      <c r="S24" s="24" t="s">
        <v>80</v>
      </c>
      <c r="T24" s="43" t="s">
        <v>98</v>
      </c>
      <c r="U24" s="26" t="s">
        <v>17</v>
      </c>
      <c r="V24" s="27" t="s">
        <v>18</v>
      </c>
      <c r="W24" s="27" t="s">
        <v>19</v>
      </c>
      <c r="X24" s="28"/>
    </row>
    <row r="25" spans="1:24" s="29" customFormat="1" ht="113.25" customHeight="1" thickBot="1">
      <c r="A25" s="10">
        <f>SUBTOTAL(3,$D$3:D25)</f>
        <v>23</v>
      </c>
      <c r="B25" s="11" t="s">
        <v>91</v>
      </c>
      <c r="C25" s="11" t="s">
        <v>91</v>
      </c>
      <c r="D25" s="174" t="s">
        <v>99</v>
      </c>
      <c r="E25" s="174"/>
      <c r="F25" s="12" t="s">
        <v>10</v>
      </c>
      <c r="G25" s="56" t="s">
        <v>26</v>
      </c>
      <c r="H25" s="13" t="s">
        <v>22</v>
      </c>
      <c r="I25" s="39">
        <v>4702000</v>
      </c>
      <c r="J25" s="15">
        <v>3779000</v>
      </c>
      <c r="K25" s="16">
        <f t="shared" si="0"/>
        <v>923000</v>
      </c>
      <c r="L25" s="17"/>
      <c r="M25" s="18" t="s">
        <v>100</v>
      </c>
      <c r="N25" s="19" t="s">
        <v>101</v>
      </c>
      <c r="O25" s="20">
        <v>46118</v>
      </c>
      <c r="P25" s="21">
        <v>1</v>
      </c>
      <c r="Q25" s="22">
        <f t="shared" si="1"/>
        <v>0</v>
      </c>
      <c r="R25" s="50"/>
      <c r="S25" s="24" t="s">
        <v>80</v>
      </c>
      <c r="T25" s="43" t="s">
        <v>98</v>
      </c>
      <c r="U25" s="26" t="s">
        <v>17</v>
      </c>
      <c r="V25" s="27" t="s">
        <v>18</v>
      </c>
      <c r="W25" s="27" t="s">
        <v>19</v>
      </c>
      <c r="X25" s="28"/>
    </row>
    <row r="26" spans="1:24" s="29" customFormat="1" ht="141.75" customHeight="1" thickBot="1">
      <c r="A26" s="10">
        <f>SUBTOTAL(3,$D$3:D26)</f>
        <v>24</v>
      </c>
      <c r="B26" s="11" t="s">
        <v>91</v>
      </c>
      <c r="C26" s="11" t="s">
        <v>91</v>
      </c>
      <c r="D26" s="174" t="s">
        <v>102</v>
      </c>
      <c r="E26" s="174"/>
      <c r="F26" s="12" t="s">
        <v>10</v>
      </c>
      <c r="G26" s="57" t="s">
        <v>43</v>
      </c>
      <c r="H26" s="13" t="s">
        <v>44</v>
      </c>
      <c r="I26" s="58">
        <v>21037000</v>
      </c>
      <c r="J26" s="15">
        <v>23917000</v>
      </c>
      <c r="K26" s="15">
        <f t="shared" si="0"/>
        <v>-2880000</v>
      </c>
      <c r="L26" s="17"/>
      <c r="M26" s="54" t="s">
        <v>103</v>
      </c>
      <c r="N26" s="55" t="s">
        <v>83</v>
      </c>
      <c r="O26" s="20">
        <v>46210</v>
      </c>
      <c r="P26" s="21">
        <v>0.05</v>
      </c>
      <c r="Q26" s="22">
        <f t="shared" si="1"/>
        <v>0</v>
      </c>
      <c r="R26" s="50"/>
      <c r="S26" s="24" t="s">
        <v>15</v>
      </c>
      <c r="T26" s="43" t="s">
        <v>16</v>
      </c>
      <c r="U26" s="26" t="s">
        <v>17</v>
      </c>
      <c r="V26" s="27" t="s">
        <v>48</v>
      </c>
      <c r="W26" s="27" t="s">
        <v>19</v>
      </c>
      <c r="X26" s="28"/>
    </row>
    <row r="27" spans="1:24" s="29" customFormat="1" ht="125.25" customHeight="1" thickBot="1">
      <c r="A27" s="10">
        <f>SUBTOTAL(3,$D$3:D27)</f>
        <v>25</v>
      </c>
      <c r="B27" s="11" t="s">
        <v>91</v>
      </c>
      <c r="C27" s="11" t="s">
        <v>91</v>
      </c>
      <c r="D27" s="174" t="s">
        <v>104</v>
      </c>
      <c r="E27" s="174"/>
      <c r="F27" s="12" t="s">
        <v>10</v>
      </c>
      <c r="G27" s="49" t="s">
        <v>31</v>
      </c>
      <c r="H27" s="49" t="s">
        <v>32</v>
      </c>
      <c r="I27" s="59">
        <v>11718000</v>
      </c>
      <c r="J27" s="15">
        <v>11718000</v>
      </c>
      <c r="K27" s="16">
        <f t="shared" si="0"/>
        <v>0</v>
      </c>
      <c r="L27" s="15">
        <v>11717811</v>
      </c>
      <c r="M27" s="18" t="s">
        <v>105</v>
      </c>
      <c r="N27" s="19" t="s">
        <v>88</v>
      </c>
      <c r="O27" s="20">
        <v>46111</v>
      </c>
      <c r="P27" s="21">
        <v>1</v>
      </c>
      <c r="Q27" s="22">
        <f t="shared" si="1"/>
        <v>0.99998387096774188</v>
      </c>
      <c r="R27" s="50"/>
      <c r="S27" s="51" t="s">
        <v>106</v>
      </c>
      <c r="T27" s="60" t="s">
        <v>107</v>
      </c>
      <c r="U27" s="26" t="s">
        <v>17</v>
      </c>
      <c r="V27" s="27" t="s">
        <v>18</v>
      </c>
      <c r="W27" s="27" t="s">
        <v>19</v>
      </c>
      <c r="X27" s="28"/>
    </row>
    <row r="28" spans="1:24" s="29" customFormat="1" ht="125.25" customHeight="1" thickBot="1">
      <c r="A28" s="10">
        <f>SUBTOTAL(3,$D$3:D28)</f>
        <v>26</v>
      </c>
      <c r="B28" s="11" t="s">
        <v>91</v>
      </c>
      <c r="C28" s="11" t="s">
        <v>91</v>
      </c>
      <c r="D28" s="174" t="s">
        <v>108</v>
      </c>
      <c r="E28" s="174"/>
      <c r="F28" s="12" t="s">
        <v>10</v>
      </c>
      <c r="G28" s="57" t="s">
        <v>109</v>
      </c>
      <c r="H28" s="13" t="s">
        <v>32</v>
      </c>
      <c r="I28" s="39">
        <v>5000000</v>
      </c>
      <c r="J28" s="15">
        <v>5588000</v>
      </c>
      <c r="K28" s="16">
        <f t="shared" si="0"/>
        <v>-588000</v>
      </c>
      <c r="L28" s="17"/>
      <c r="M28" s="18" t="s">
        <v>110</v>
      </c>
      <c r="N28" s="19" t="s">
        <v>111</v>
      </c>
      <c r="O28" s="20">
        <v>46140</v>
      </c>
      <c r="P28" s="21">
        <v>0.05</v>
      </c>
      <c r="Q28" s="22">
        <f t="shared" si="1"/>
        <v>0</v>
      </c>
      <c r="R28" s="50"/>
      <c r="S28" s="24" t="s">
        <v>15</v>
      </c>
      <c r="T28" s="43" t="s">
        <v>112</v>
      </c>
      <c r="U28" s="26" t="s">
        <v>17</v>
      </c>
      <c r="V28" s="27" t="s">
        <v>18</v>
      </c>
      <c r="W28" s="27" t="s">
        <v>19</v>
      </c>
      <c r="X28" s="28"/>
    </row>
    <row r="29" spans="1:24" s="29" customFormat="1" ht="125.25" customHeight="1" thickBot="1">
      <c r="A29" s="10">
        <f>SUBTOTAL(3,$D$3:D29)</f>
        <v>27</v>
      </c>
      <c r="B29" s="11" t="s">
        <v>91</v>
      </c>
      <c r="C29" s="11" t="s">
        <v>91</v>
      </c>
      <c r="D29" s="174" t="s">
        <v>113</v>
      </c>
      <c r="E29" s="174"/>
      <c r="F29" s="12" t="s">
        <v>10</v>
      </c>
      <c r="G29" s="57" t="s">
        <v>109</v>
      </c>
      <c r="H29" s="13" t="s">
        <v>32</v>
      </c>
      <c r="I29" s="39">
        <v>5000000</v>
      </c>
      <c r="J29" s="15">
        <v>4768000</v>
      </c>
      <c r="K29" s="16">
        <f t="shared" si="0"/>
        <v>232000</v>
      </c>
      <c r="L29" s="17"/>
      <c r="M29" s="18" t="s">
        <v>110</v>
      </c>
      <c r="N29" s="19" t="s">
        <v>111</v>
      </c>
      <c r="O29" s="20">
        <v>46140</v>
      </c>
      <c r="P29" s="21">
        <v>0.05</v>
      </c>
      <c r="Q29" s="22">
        <f t="shared" si="1"/>
        <v>0</v>
      </c>
      <c r="R29" s="50"/>
      <c r="S29" s="24" t="s">
        <v>15</v>
      </c>
      <c r="T29" s="43" t="s">
        <v>112</v>
      </c>
      <c r="U29" s="26" t="s">
        <v>17</v>
      </c>
      <c r="V29" s="27" t="s">
        <v>18</v>
      </c>
      <c r="W29" s="27" t="s">
        <v>19</v>
      </c>
      <c r="X29" s="28"/>
    </row>
    <row r="30" spans="1:24" s="29" customFormat="1" ht="125.25" customHeight="1" thickBot="1">
      <c r="A30" s="10">
        <f>SUBTOTAL(3,$D$3:D30)</f>
        <v>28</v>
      </c>
      <c r="B30" s="11" t="s">
        <v>91</v>
      </c>
      <c r="C30" s="11" t="s">
        <v>91</v>
      </c>
      <c r="D30" s="174" t="s">
        <v>114</v>
      </c>
      <c r="E30" s="174"/>
      <c r="F30" s="12" t="s">
        <v>10</v>
      </c>
      <c r="G30" s="57" t="s">
        <v>109</v>
      </c>
      <c r="H30" s="13" t="s">
        <v>32</v>
      </c>
      <c r="I30" s="39">
        <v>4000000</v>
      </c>
      <c r="J30" s="15">
        <v>3857000</v>
      </c>
      <c r="K30" s="16">
        <f t="shared" si="0"/>
        <v>143000</v>
      </c>
      <c r="L30" s="17"/>
      <c r="M30" s="18" t="s">
        <v>115</v>
      </c>
      <c r="N30" s="19" t="s">
        <v>116</v>
      </c>
      <c r="O30" s="20">
        <v>46140</v>
      </c>
      <c r="P30" s="21">
        <v>0.05</v>
      </c>
      <c r="Q30" s="22">
        <f t="shared" si="1"/>
        <v>0</v>
      </c>
      <c r="R30" s="50"/>
      <c r="S30" s="24" t="s">
        <v>15</v>
      </c>
      <c r="T30" s="43" t="s">
        <v>112</v>
      </c>
      <c r="U30" s="26" t="s">
        <v>17</v>
      </c>
      <c r="V30" s="27" t="s">
        <v>18</v>
      </c>
      <c r="W30" s="27" t="s">
        <v>19</v>
      </c>
      <c r="X30" s="28"/>
    </row>
    <row r="31" spans="1:24" s="29" customFormat="1" ht="125.25" customHeight="1" thickBot="1">
      <c r="A31" s="10">
        <f>SUBTOTAL(3,$D$3:D31)</f>
        <v>29</v>
      </c>
      <c r="B31" s="11" t="s">
        <v>91</v>
      </c>
      <c r="C31" s="11" t="s">
        <v>91</v>
      </c>
      <c r="D31" s="174" t="s">
        <v>117</v>
      </c>
      <c r="E31" s="174"/>
      <c r="F31" s="12" t="s">
        <v>10</v>
      </c>
      <c r="G31" s="57" t="s">
        <v>109</v>
      </c>
      <c r="H31" s="13" t="s">
        <v>32</v>
      </c>
      <c r="I31" s="39">
        <v>4000000</v>
      </c>
      <c r="J31" s="15">
        <v>3892000</v>
      </c>
      <c r="K31" s="16">
        <f t="shared" si="0"/>
        <v>108000</v>
      </c>
      <c r="L31" s="17"/>
      <c r="M31" s="18" t="s">
        <v>115</v>
      </c>
      <c r="N31" s="19" t="s">
        <v>116</v>
      </c>
      <c r="O31" s="20">
        <v>46140</v>
      </c>
      <c r="P31" s="21">
        <v>0.05</v>
      </c>
      <c r="Q31" s="22">
        <f t="shared" si="1"/>
        <v>0</v>
      </c>
      <c r="R31" s="50"/>
      <c r="S31" s="24" t="s">
        <v>15</v>
      </c>
      <c r="T31" s="43" t="s">
        <v>112</v>
      </c>
      <c r="U31" s="26" t="s">
        <v>17</v>
      </c>
      <c r="V31" s="27" t="s">
        <v>18</v>
      </c>
      <c r="W31" s="27" t="s">
        <v>19</v>
      </c>
      <c r="X31" s="61"/>
    </row>
    <row r="32" spans="1:24" s="29" customFormat="1" ht="125.25" customHeight="1" thickBot="1">
      <c r="A32" s="10">
        <f>SUBTOTAL(3,$D$3:D32)</f>
        <v>30</v>
      </c>
      <c r="B32" s="11" t="s">
        <v>91</v>
      </c>
      <c r="C32" s="11" t="s">
        <v>91</v>
      </c>
      <c r="D32" s="174" t="s">
        <v>118</v>
      </c>
      <c r="E32" s="174"/>
      <c r="F32" s="12" t="s">
        <v>10</v>
      </c>
      <c r="G32" s="62" t="s">
        <v>26</v>
      </c>
      <c r="H32" s="13" t="s">
        <v>22</v>
      </c>
      <c r="I32" s="14">
        <v>34843000</v>
      </c>
      <c r="J32" s="15">
        <v>31616000</v>
      </c>
      <c r="K32" s="16">
        <f t="shared" si="0"/>
        <v>3227000</v>
      </c>
      <c r="L32" s="16"/>
      <c r="M32" s="18" t="s">
        <v>119</v>
      </c>
      <c r="N32" s="19" t="s">
        <v>120</v>
      </c>
      <c r="O32" s="20">
        <v>46222</v>
      </c>
      <c r="P32" s="21">
        <v>0.05</v>
      </c>
      <c r="Q32" s="22">
        <f t="shared" si="1"/>
        <v>0</v>
      </c>
      <c r="R32" s="50"/>
      <c r="S32" s="24" t="s">
        <v>15</v>
      </c>
      <c r="T32" s="43" t="s">
        <v>16</v>
      </c>
      <c r="U32" s="26" t="s">
        <v>17</v>
      </c>
      <c r="V32" s="27" t="s">
        <v>18</v>
      </c>
      <c r="W32" s="27" t="s">
        <v>19</v>
      </c>
      <c r="X32" s="28"/>
    </row>
    <row r="33" spans="1:24" s="29" customFormat="1" ht="125.25" customHeight="1" thickBot="1">
      <c r="A33" s="10">
        <f>SUBTOTAL(3,$D$3:D33)</f>
        <v>31</v>
      </c>
      <c r="B33" s="11" t="s">
        <v>91</v>
      </c>
      <c r="C33" s="63" t="s">
        <v>121</v>
      </c>
      <c r="D33" s="174" t="s">
        <v>122</v>
      </c>
      <c r="E33" s="174"/>
      <c r="F33" s="12" t="s">
        <v>10</v>
      </c>
      <c r="G33" s="13" t="s">
        <v>26</v>
      </c>
      <c r="H33" s="13" t="s">
        <v>22</v>
      </c>
      <c r="I33" s="39">
        <v>4718000</v>
      </c>
      <c r="J33" s="15">
        <v>4718000</v>
      </c>
      <c r="K33" s="16">
        <f t="shared" si="0"/>
        <v>0</v>
      </c>
      <c r="L33" s="17"/>
      <c r="M33" s="18" t="s">
        <v>123</v>
      </c>
      <c r="N33" s="19" t="s">
        <v>124</v>
      </c>
      <c r="O33" s="20">
        <v>46112</v>
      </c>
      <c r="P33" s="21">
        <v>0.95</v>
      </c>
      <c r="Q33" s="22">
        <f t="shared" si="1"/>
        <v>0</v>
      </c>
      <c r="R33" s="50"/>
      <c r="S33" s="24" t="s">
        <v>15</v>
      </c>
      <c r="T33" s="43" t="s">
        <v>16</v>
      </c>
      <c r="U33" s="26" t="s">
        <v>17</v>
      </c>
      <c r="V33" s="27" t="s">
        <v>18</v>
      </c>
      <c r="W33" s="27" t="s">
        <v>19</v>
      </c>
      <c r="X33" s="28"/>
    </row>
    <row r="34" spans="1:24" s="29" customFormat="1" ht="99.75" customHeight="1" thickBot="1">
      <c r="A34" s="10">
        <f>SUBTOTAL(3,$D$3:D34)</f>
        <v>32</v>
      </c>
      <c r="B34" s="11" t="s">
        <v>91</v>
      </c>
      <c r="C34" s="63" t="s">
        <v>121</v>
      </c>
      <c r="D34" s="174" t="s">
        <v>125</v>
      </c>
      <c r="E34" s="174"/>
      <c r="F34" s="12" t="s">
        <v>10</v>
      </c>
      <c r="G34" s="13" t="s">
        <v>21</v>
      </c>
      <c r="H34" s="13" t="s">
        <v>22</v>
      </c>
      <c r="I34" s="39">
        <v>6679000</v>
      </c>
      <c r="J34" s="15">
        <v>6679000</v>
      </c>
      <c r="K34" s="16">
        <f t="shared" si="0"/>
        <v>0</v>
      </c>
      <c r="L34" s="15">
        <v>6114791</v>
      </c>
      <c r="M34" s="64" t="s">
        <v>93</v>
      </c>
      <c r="N34" s="19" t="s">
        <v>38</v>
      </c>
      <c r="O34" s="20">
        <v>46112</v>
      </c>
      <c r="P34" s="21">
        <v>1</v>
      </c>
      <c r="Q34" s="22">
        <f t="shared" si="1"/>
        <v>0.91552492888156911</v>
      </c>
      <c r="R34" s="50"/>
      <c r="S34" s="51" t="s">
        <v>106</v>
      </c>
      <c r="T34" s="60" t="s">
        <v>126</v>
      </c>
      <c r="U34" s="26" t="s">
        <v>17</v>
      </c>
      <c r="V34" s="27" t="s">
        <v>18</v>
      </c>
      <c r="W34" s="27" t="s">
        <v>19</v>
      </c>
      <c r="X34" s="28"/>
    </row>
    <row r="35" spans="1:24" s="29" customFormat="1" ht="99.75" customHeight="1" thickBot="1">
      <c r="A35" s="10">
        <f>SUBTOTAL(3,$D$3:D35)</f>
        <v>33</v>
      </c>
      <c r="B35" s="11" t="s">
        <v>91</v>
      </c>
      <c r="C35" s="63" t="s">
        <v>121</v>
      </c>
      <c r="D35" s="174" t="s">
        <v>127</v>
      </c>
      <c r="E35" s="174"/>
      <c r="F35" s="12" t="s">
        <v>10</v>
      </c>
      <c r="G35" s="13" t="s">
        <v>21</v>
      </c>
      <c r="H35" s="13" t="s">
        <v>22</v>
      </c>
      <c r="I35" s="39">
        <v>16201000</v>
      </c>
      <c r="J35" s="15">
        <v>16201000</v>
      </c>
      <c r="K35" s="16">
        <f t="shared" si="0"/>
        <v>0</v>
      </c>
      <c r="L35" s="15"/>
      <c r="M35" s="18" t="s">
        <v>128</v>
      </c>
      <c r="N35" s="19" t="s">
        <v>38</v>
      </c>
      <c r="O35" s="20">
        <v>46112</v>
      </c>
      <c r="P35" s="21">
        <v>0.95</v>
      </c>
      <c r="Q35" s="22">
        <f t="shared" si="1"/>
        <v>0</v>
      </c>
      <c r="R35" s="50"/>
      <c r="S35" s="24" t="s">
        <v>15</v>
      </c>
      <c r="T35" s="43" t="s">
        <v>16</v>
      </c>
      <c r="U35" s="26" t="s">
        <v>17</v>
      </c>
      <c r="V35" s="27" t="s">
        <v>18</v>
      </c>
      <c r="W35" s="27" t="s">
        <v>19</v>
      </c>
      <c r="X35" s="28"/>
    </row>
    <row r="36" spans="1:24" s="29" customFormat="1" ht="99.75" customHeight="1" thickBot="1">
      <c r="A36" s="10">
        <f>SUBTOTAL(3,$D$3:D36)</f>
        <v>34</v>
      </c>
      <c r="B36" s="11" t="s">
        <v>91</v>
      </c>
      <c r="C36" s="63" t="s">
        <v>121</v>
      </c>
      <c r="D36" s="174" t="s">
        <v>129</v>
      </c>
      <c r="E36" s="174"/>
      <c r="F36" s="12" t="s">
        <v>10</v>
      </c>
      <c r="G36" s="57" t="s">
        <v>43</v>
      </c>
      <c r="H36" s="13" t="s">
        <v>44</v>
      </c>
      <c r="I36" s="36">
        <v>10702000</v>
      </c>
      <c r="J36" s="15">
        <v>10702000</v>
      </c>
      <c r="K36" s="15">
        <f t="shared" si="0"/>
        <v>0</v>
      </c>
      <c r="L36" s="15">
        <v>10502226</v>
      </c>
      <c r="M36" s="64" t="s">
        <v>130</v>
      </c>
      <c r="N36" s="19" t="s">
        <v>124</v>
      </c>
      <c r="O36" s="20">
        <v>46112</v>
      </c>
      <c r="P36" s="21">
        <v>1</v>
      </c>
      <c r="Q36" s="22">
        <f t="shared" si="1"/>
        <v>0.98133302186507199</v>
      </c>
      <c r="R36" s="50"/>
      <c r="S36" s="51" t="s">
        <v>106</v>
      </c>
      <c r="T36" s="60" t="s">
        <v>131</v>
      </c>
      <c r="U36" s="26" t="s">
        <v>17</v>
      </c>
      <c r="V36" s="27" t="s">
        <v>18</v>
      </c>
      <c r="W36" s="27" t="s">
        <v>19</v>
      </c>
      <c r="X36" s="28"/>
    </row>
    <row r="37" spans="1:24" s="29" customFormat="1" ht="99.75" customHeight="1" thickBot="1">
      <c r="A37" s="10">
        <f>SUBTOTAL(3,$D$3:D37)</f>
        <v>35</v>
      </c>
      <c r="B37" s="11" t="s">
        <v>91</v>
      </c>
      <c r="C37" s="63" t="s">
        <v>121</v>
      </c>
      <c r="D37" s="174" t="s">
        <v>132</v>
      </c>
      <c r="E37" s="174"/>
      <c r="F37" s="12" t="s">
        <v>10</v>
      </c>
      <c r="G37" s="57"/>
      <c r="H37" s="13"/>
      <c r="I37" s="65">
        <v>0</v>
      </c>
      <c r="J37" s="15">
        <v>11383000</v>
      </c>
      <c r="K37" s="16">
        <f t="shared" si="0"/>
        <v>-11383000</v>
      </c>
      <c r="L37" s="17"/>
      <c r="M37" s="18" t="s">
        <v>133</v>
      </c>
      <c r="N37" s="19" t="s">
        <v>88</v>
      </c>
      <c r="O37" s="20"/>
      <c r="P37" s="21"/>
      <c r="Q37" s="22"/>
      <c r="R37" s="50"/>
      <c r="S37" s="24" t="s">
        <v>28</v>
      </c>
      <c r="T37" s="43" t="s">
        <v>134</v>
      </c>
      <c r="U37" s="26" t="s">
        <v>17</v>
      </c>
      <c r="V37" s="27" t="s">
        <v>18</v>
      </c>
      <c r="W37" s="27" t="s">
        <v>19</v>
      </c>
      <c r="X37" s="28" t="s">
        <v>135</v>
      </c>
    </row>
    <row r="38" spans="1:24" s="29" customFormat="1" ht="124.5" customHeight="1" thickBot="1">
      <c r="A38" s="10">
        <f>SUBTOTAL(3,$D$3:D38)</f>
        <v>36</v>
      </c>
      <c r="B38" s="11" t="s">
        <v>136</v>
      </c>
      <c r="C38" s="63" t="s">
        <v>136</v>
      </c>
      <c r="D38" s="174" t="s">
        <v>137</v>
      </c>
      <c r="E38" s="174"/>
      <c r="F38" s="12" t="s">
        <v>10</v>
      </c>
      <c r="G38" s="57" t="s">
        <v>43</v>
      </c>
      <c r="H38" s="13" t="s">
        <v>44</v>
      </c>
      <c r="I38" s="36">
        <v>30000000</v>
      </c>
      <c r="J38" s="15">
        <v>27520000</v>
      </c>
      <c r="K38" s="15">
        <f t="shared" si="0"/>
        <v>2480000</v>
      </c>
      <c r="L38" s="66"/>
      <c r="M38" s="67" t="s">
        <v>138</v>
      </c>
      <c r="N38" s="68" t="s">
        <v>58</v>
      </c>
      <c r="O38" s="20">
        <v>46138</v>
      </c>
      <c r="P38" s="21">
        <v>0.3</v>
      </c>
      <c r="Q38" s="21">
        <f t="shared" si="1"/>
        <v>0</v>
      </c>
      <c r="R38" s="50"/>
      <c r="S38" s="24" t="s">
        <v>15</v>
      </c>
      <c r="T38" s="46" t="s">
        <v>59</v>
      </c>
      <c r="U38" s="26" t="s">
        <v>17</v>
      </c>
      <c r="V38" s="27" t="s">
        <v>48</v>
      </c>
      <c r="W38" s="27" t="s">
        <v>19</v>
      </c>
      <c r="X38" s="28"/>
    </row>
    <row r="39" spans="1:24" s="29" customFormat="1" ht="72.75" customHeight="1" thickBot="1">
      <c r="A39" s="10">
        <f>SUBTOTAL(3,$D$3:D39)</f>
        <v>37</v>
      </c>
      <c r="B39" s="11" t="s">
        <v>136</v>
      </c>
      <c r="C39" s="63" t="s">
        <v>136</v>
      </c>
      <c r="D39" s="174" t="s">
        <v>139</v>
      </c>
      <c r="E39" s="174"/>
      <c r="F39" s="12" t="s">
        <v>10</v>
      </c>
      <c r="G39" s="57" t="s">
        <v>26</v>
      </c>
      <c r="H39" s="13" t="s">
        <v>22</v>
      </c>
      <c r="I39" s="39">
        <v>5293000</v>
      </c>
      <c r="J39" s="15">
        <v>5293000</v>
      </c>
      <c r="K39" s="16">
        <f t="shared" si="0"/>
        <v>0</v>
      </c>
      <c r="L39" s="66"/>
      <c r="M39" s="67" t="s">
        <v>140</v>
      </c>
      <c r="N39" s="40" t="s">
        <v>34</v>
      </c>
      <c r="O39" s="20">
        <v>46124</v>
      </c>
      <c r="P39" s="21">
        <v>0.98</v>
      </c>
      <c r="Q39" s="21">
        <f t="shared" si="1"/>
        <v>0</v>
      </c>
      <c r="R39" s="50"/>
      <c r="S39" s="24" t="s">
        <v>15</v>
      </c>
      <c r="T39" s="43" t="s">
        <v>59</v>
      </c>
      <c r="U39" s="26" t="s">
        <v>17</v>
      </c>
      <c r="V39" s="27" t="s">
        <v>18</v>
      </c>
      <c r="W39" s="27" t="s">
        <v>19</v>
      </c>
      <c r="X39" s="28"/>
    </row>
    <row r="40" spans="1:24" s="29" customFormat="1" ht="88.5" customHeight="1" thickBot="1">
      <c r="A40" s="10">
        <f>SUBTOTAL(3,$D$3:D40)</f>
        <v>38</v>
      </c>
      <c r="B40" s="11" t="s">
        <v>136</v>
      </c>
      <c r="C40" s="63" t="s">
        <v>136</v>
      </c>
      <c r="D40" s="174" t="s">
        <v>141</v>
      </c>
      <c r="E40" s="174"/>
      <c r="F40" s="12" t="s">
        <v>10</v>
      </c>
      <c r="G40" s="57" t="s">
        <v>21</v>
      </c>
      <c r="H40" s="13" t="s">
        <v>22</v>
      </c>
      <c r="I40" s="39">
        <v>17206000</v>
      </c>
      <c r="J40" s="15">
        <v>17206000</v>
      </c>
      <c r="K40" s="16">
        <f t="shared" si="0"/>
        <v>0</v>
      </c>
      <c r="L40" s="69">
        <v>17042763.5</v>
      </c>
      <c r="M40" s="67" t="s">
        <v>142</v>
      </c>
      <c r="N40" s="40" t="s">
        <v>143</v>
      </c>
      <c r="O40" s="20">
        <v>46124</v>
      </c>
      <c r="P40" s="21">
        <v>1</v>
      </c>
      <c r="Q40" s="21">
        <f t="shared" si="1"/>
        <v>0.99051281529698942</v>
      </c>
      <c r="R40" s="50"/>
      <c r="S40" s="51" t="s">
        <v>106</v>
      </c>
      <c r="T40" s="60" t="s">
        <v>144</v>
      </c>
      <c r="U40" s="26" t="s">
        <v>17</v>
      </c>
      <c r="V40" s="27" t="s">
        <v>18</v>
      </c>
      <c r="W40" s="27" t="s">
        <v>19</v>
      </c>
      <c r="X40" s="28"/>
    </row>
    <row r="41" spans="1:24" s="29" customFormat="1" ht="84" customHeight="1" thickBot="1">
      <c r="A41" s="10">
        <f>SUBTOTAL(3,$D$3:D41)</f>
        <v>39</v>
      </c>
      <c r="B41" s="11" t="s">
        <v>136</v>
      </c>
      <c r="C41" s="63" t="s">
        <v>136</v>
      </c>
      <c r="D41" s="174" t="s">
        <v>145</v>
      </c>
      <c r="E41" s="174"/>
      <c r="F41" s="12" t="s">
        <v>10</v>
      </c>
      <c r="G41" s="26" t="s">
        <v>109</v>
      </c>
      <c r="H41" s="49" t="s">
        <v>32</v>
      </c>
      <c r="I41" s="14">
        <v>14703000</v>
      </c>
      <c r="J41" s="15">
        <v>14703000</v>
      </c>
      <c r="K41" s="16">
        <f t="shared" si="0"/>
        <v>0</v>
      </c>
      <c r="L41" s="70"/>
      <c r="M41" s="67" t="s">
        <v>146</v>
      </c>
      <c r="N41" s="40" t="s">
        <v>38</v>
      </c>
      <c r="O41" s="20"/>
      <c r="P41" s="21">
        <v>0</v>
      </c>
      <c r="Q41" s="21">
        <f t="shared" si="1"/>
        <v>0</v>
      </c>
      <c r="R41" s="50"/>
      <c r="S41" s="24" t="s">
        <v>28</v>
      </c>
      <c r="T41" s="71" t="s">
        <v>147</v>
      </c>
      <c r="U41" s="26" t="s">
        <v>17</v>
      </c>
      <c r="V41" s="27" t="s">
        <v>18</v>
      </c>
      <c r="W41" s="27" t="s">
        <v>19</v>
      </c>
      <c r="X41" s="28" t="s">
        <v>64</v>
      </c>
    </row>
    <row r="42" spans="1:24" s="29" customFormat="1" ht="121.5" customHeight="1" thickBot="1">
      <c r="A42" s="10">
        <f>SUBTOTAL(3,$D$3:D42)</f>
        <v>40</v>
      </c>
      <c r="B42" s="11" t="s">
        <v>136</v>
      </c>
      <c r="C42" s="63" t="s">
        <v>136</v>
      </c>
      <c r="D42" s="174" t="s">
        <v>148</v>
      </c>
      <c r="E42" s="174"/>
      <c r="F42" s="12" t="s">
        <v>10</v>
      </c>
      <c r="G42" s="57" t="s">
        <v>43</v>
      </c>
      <c r="H42" s="13" t="s">
        <v>44</v>
      </c>
      <c r="I42" s="36">
        <v>22200000</v>
      </c>
      <c r="J42" s="15">
        <v>21969000</v>
      </c>
      <c r="K42" s="15">
        <f t="shared" si="0"/>
        <v>231000</v>
      </c>
      <c r="L42" s="69"/>
      <c r="M42" s="67"/>
      <c r="N42" s="40"/>
      <c r="O42" s="20"/>
      <c r="P42" s="21"/>
      <c r="Q42" s="21"/>
      <c r="R42" s="50"/>
      <c r="S42" s="24" t="s">
        <v>28</v>
      </c>
      <c r="T42" s="43" t="s">
        <v>149</v>
      </c>
      <c r="U42" s="26" t="s">
        <v>17</v>
      </c>
      <c r="V42" s="27" t="s">
        <v>18</v>
      </c>
      <c r="W42" s="27" t="s">
        <v>19</v>
      </c>
      <c r="X42" s="28" t="s">
        <v>135</v>
      </c>
    </row>
    <row r="43" spans="1:24" s="29" customFormat="1" ht="86.25" customHeight="1" thickBot="1">
      <c r="A43" s="10">
        <f>SUBTOTAL(3,$D$3:D43)</f>
        <v>41</v>
      </c>
      <c r="B43" s="11" t="s">
        <v>136</v>
      </c>
      <c r="C43" s="11" t="s">
        <v>150</v>
      </c>
      <c r="D43" s="174" t="s">
        <v>151</v>
      </c>
      <c r="E43" s="174"/>
      <c r="F43" s="12" t="s">
        <v>10</v>
      </c>
      <c r="G43" s="57" t="s">
        <v>11</v>
      </c>
      <c r="H43" s="13" t="s">
        <v>12</v>
      </c>
      <c r="I43" s="39">
        <v>22502000</v>
      </c>
      <c r="J43" s="15">
        <v>22502000</v>
      </c>
      <c r="K43" s="16">
        <f t="shared" si="0"/>
        <v>0</v>
      </c>
      <c r="L43" s="16"/>
      <c r="M43" s="67" t="s">
        <v>152</v>
      </c>
      <c r="N43" s="19" t="s">
        <v>38</v>
      </c>
      <c r="O43" s="20">
        <v>46119</v>
      </c>
      <c r="P43" s="21">
        <v>0.67</v>
      </c>
      <c r="Q43" s="21">
        <f t="shared" si="1"/>
        <v>0</v>
      </c>
      <c r="R43" s="72"/>
      <c r="S43" s="24" t="s">
        <v>15</v>
      </c>
      <c r="T43" s="43" t="s">
        <v>59</v>
      </c>
      <c r="U43" s="26" t="s">
        <v>17</v>
      </c>
      <c r="V43" s="27" t="s">
        <v>18</v>
      </c>
      <c r="W43" s="27" t="s">
        <v>19</v>
      </c>
      <c r="X43" s="28"/>
    </row>
    <row r="44" spans="1:24" s="29" customFormat="1" ht="115.5" customHeight="1" thickBot="1">
      <c r="A44" s="10">
        <f>SUBTOTAL(3,$D$3:D44)</f>
        <v>42</v>
      </c>
      <c r="B44" s="11" t="s">
        <v>136</v>
      </c>
      <c r="C44" s="11" t="s">
        <v>150</v>
      </c>
      <c r="D44" s="174" t="s">
        <v>153</v>
      </c>
      <c r="E44" s="174"/>
      <c r="F44" s="12" t="s">
        <v>10</v>
      </c>
      <c r="G44" s="57" t="s">
        <v>11</v>
      </c>
      <c r="H44" s="13" t="s">
        <v>12</v>
      </c>
      <c r="I44" s="39">
        <v>33784000</v>
      </c>
      <c r="J44" s="15">
        <v>33784000</v>
      </c>
      <c r="K44" s="16">
        <f t="shared" si="0"/>
        <v>0</v>
      </c>
      <c r="L44" s="16"/>
      <c r="M44" s="67" t="s">
        <v>154</v>
      </c>
      <c r="N44" s="19" t="s">
        <v>155</v>
      </c>
      <c r="O44" s="73">
        <v>46119</v>
      </c>
      <c r="P44" s="21">
        <v>0.38</v>
      </c>
      <c r="Q44" s="21">
        <f t="shared" si="1"/>
        <v>0</v>
      </c>
      <c r="R44" s="72"/>
      <c r="S44" s="24" t="s">
        <v>15</v>
      </c>
      <c r="T44" s="43" t="s">
        <v>59</v>
      </c>
      <c r="U44" s="26" t="s">
        <v>17</v>
      </c>
      <c r="V44" s="27" t="s">
        <v>18</v>
      </c>
      <c r="W44" s="27" t="s">
        <v>19</v>
      </c>
      <c r="X44" s="28"/>
    </row>
    <row r="45" spans="1:24" s="29" customFormat="1" ht="90.75" customHeight="1" thickBot="1">
      <c r="A45" s="10">
        <f>SUBTOTAL(3,$D$3:D45)</f>
        <v>43</v>
      </c>
      <c r="B45" s="11" t="s">
        <v>136</v>
      </c>
      <c r="C45" s="11" t="s">
        <v>150</v>
      </c>
      <c r="D45" s="174" t="s">
        <v>156</v>
      </c>
      <c r="E45" s="174"/>
      <c r="F45" s="12" t="s">
        <v>10</v>
      </c>
      <c r="G45" s="57" t="s">
        <v>11</v>
      </c>
      <c r="H45" s="13" t="s">
        <v>12</v>
      </c>
      <c r="I45" s="39">
        <v>23641000</v>
      </c>
      <c r="J45" s="15">
        <v>23641000</v>
      </c>
      <c r="K45" s="16">
        <f t="shared" si="0"/>
        <v>0</v>
      </c>
      <c r="L45" s="16"/>
      <c r="M45" s="67" t="s">
        <v>154</v>
      </c>
      <c r="N45" s="19" t="s">
        <v>155</v>
      </c>
      <c r="O45" s="20">
        <v>46119</v>
      </c>
      <c r="P45" s="21">
        <v>0.4</v>
      </c>
      <c r="Q45" s="21">
        <f t="shared" si="1"/>
        <v>0</v>
      </c>
      <c r="R45" s="72"/>
      <c r="S45" s="24" t="s">
        <v>15</v>
      </c>
      <c r="T45" s="43" t="s">
        <v>59</v>
      </c>
      <c r="U45" s="26" t="s">
        <v>17</v>
      </c>
      <c r="V45" s="27" t="s">
        <v>18</v>
      </c>
      <c r="W45" s="27" t="s">
        <v>19</v>
      </c>
      <c r="X45" s="28"/>
    </row>
    <row r="46" spans="1:24" s="29" customFormat="1" ht="127.5" customHeight="1" thickBot="1">
      <c r="A46" s="10">
        <f>SUBTOTAL(3,$D$3:D46)</f>
        <v>44</v>
      </c>
      <c r="B46" s="11" t="s">
        <v>136</v>
      </c>
      <c r="C46" s="11" t="s">
        <v>150</v>
      </c>
      <c r="D46" s="174" t="s">
        <v>157</v>
      </c>
      <c r="E46" s="174"/>
      <c r="F46" s="12" t="s">
        <v>10</v>
      </c>
      <c r="G46" s="57" t="s">
        <v>43</v>
      </c>
      <c r="H46" s="13" t="s">
        <v>44</v>
      </c>
      <c r="I46" s="36">
        <v>8700000</v>
      </c>
      <c r="J46" s="15">
        <v>8682000</v>
      </c>
      <c r="K46" s="15">
        <f t="shared" si="0"/>
        <v>18000</v>
      </c>
      <c r="L46" s="16"/>
      <c r="M46" s="67" t="s">
        <v>154</v>
      </c>
      <c r="N46" s="19" t="s">
        <v>58</v>
      </c>
      <c r="O46" s="20">
        <v>46134</v>
      </c>
      <c r="P46" s="21">
        <v>1</v>
      </c>
      <c r="Q46" s="21">
        <f t="shared" si="1"/>
        <v>0</v>
      </c>
      <c r="R46" s="72"/>
      <c r="S46" s="24" t="s">
        <v>80</v>
      </c>
      <c r="T46" s="46" t="s">
        <v>158</v>
      </c>
      <c r="U46" s="26" t="s">
        <v>17</v>
      </c>
      <c r="V46" s="27" t="s">
        <v>48</v>
      </c>
      <c r="W46" s="27" t="s">
        <v>19</v>
      </c>
      <c r="X46" s="28"/>
    </row>
    <row r="47" spans="1:24" s="29" customFormat="1" ht="72.75" customHeight="1" thickBot="1">
      <c r="A47" s="10">
        <f>SUBTOTAL(3,$D$3:D47)</f>
        <v>45</v>
      </c>
      <c r="B47" s="11" t="s">
        <v>136</v>
      </c>
      <c r="C47" s="63" t="s">
        <v>159</v>
      </c>
      <c r="D47" s="174" t="s">
        <v>160</v>
      </c>
      <c r="E47" s="174"/>
      <c r="F47" s="12" t="s">
        <v>10</v>
      </c>
      <c r="G47" s="74" t="s">
        <v>26</v>
      </c>
      <c r="H47" s="53" t="s">
        <v>22</v>
      </c>
      <c r="I47" s="39">
        <v>26247000</v>
      </c>
      <c r="J47" s="15">
        <v>26247000</v>
      </c>
      <c r="K47" s="16">
        <f t="shared" si="0"/>
        <v>0</v>
      </c>
      <c r="L47" s="17"/>
      <c r="M47" s="75" t="s">
        <v>161</v>
      </c>
      <c r="N47" s="76" t="s">
        <v>38</v>
      </c>
      <c r="O47" s="20">
        <v>46135</v>
      </c>
      <c r="P47" s="76">
        <v>0.3</v>
      </c>
      <c r="Q47" s="21">
        <f t="shared" si="1"/>
        <v>0</v>
      </c>
      <c r="R47" s="50"/>
      <c r="S47" s="24" t="s">
        <v>94</v>
      </c>
      <c r="T47" s="43" t="s">
        <v>162</v>
      </c>
      <c r="U47" s="26" t="s">
        <v>17</v>
      </c>
      <c r="V47" s="27" t="s">
        <v>18</v>
      </c>
      <c r="W47" s="27" t="s">
        <v>19</v>
      </c>
      <c r="X47" s="28"/>
    </row>
    <row r="48" spans="1:24" s="29" customFormat="1" ht="129.75" customHeight="1" thickBot="1">
      <c r="A48" s="10">
        <f>SUBTOTAL(3,$D$3:D48)</f>
        <v>46</v>
      </c>
      <c r="B48" s="11" t="s">
        <v>136</v>
      </c>
      <c r="C48" s="63" t="s">
        <v>159</v>
      </c>
      <c r="D48" s="174" t="s">
        <v>163</v>
      </c>
      <c r="E48" s="174"/>
      <c r="F48" s="12" t="s">
        <v>10</v>
      </c>
      <c r="G48" s="57" t="s">
        <v>43</v>
      </c>
      <c r="H48" s="13" t="s">
        <v>44</v>
      </c>
      <c r="I48" s="36">
        <v>18700000</v>
      </c>
      <c r="J48" s="15">
        <v>16235000</v>
      </c>
      <c r="K48" s="15">
        <f t="shared" si="0"/>
        <v>2465000</v>
      </c>
      <c r="L48" s="17"/>
      <c r="M48" s="77" t="s">
        <v>154</v>
      </c>
      <c r="N48" s="55" t="s">
        <v>38</v>
      </c>
      <c r="O48" s="20">
        <v>46194</v>
      </c>
      <c r="P48" s="76">
        <v>0.3</v>
      </c>
      <c r="Q48" s="21">
        <f t="shared" si="1"/>
        <v>0</v>
      </c>
      <c r="R48" s="50"/>
      <c r="S48" s="24" t="s">
        <v>15</v>
      </c>
      <c r="T48" s="43" t="s">
        <v>164</v>
      </c>
      <c r="U48" s="78" t="s">
        <v>17</v>
      </c>
      <c r="V48" s="27" t="s">
        <v>48</v>
      </c>
      <c r="W48" s="27" t="s">
        <v>19</v>
      </c>
      <c r="X48" s="28"/>
    </row>
    <row r="49" spans="1:24" s="29" customFormat="1" ht="75.75" customHeight="1" thickBot="1">
      <c r="A49" s="10">
        <f>SUBTOTAL(3,$D$3:D49)</f>
        <v>47</v>
      </c>
      <c r="B49" s="11" t="s">
        <v>136</v>
      </c>
      <c r="C49" s="11" t="s">
        <v>165</v>
      </c>
      <c r="D49" s="174" t="s">
        <v>166</v>
      </c>
      <c r="E49" s="174"/>
      <c r="F49" s="12" t="s">
        <v>10</v>
      </c>
      <c r="G49" s="57" t="s">
        <v>26</v>
      </c>
      <c r="H49" s="47" t="s">
        <v>22</v>
      </c>
      <c r="I49" s="14">
        <v>11963000</v>
      </c>
      <c r="J49" s="15">
        <v>11963000</v>
      </c>
      <c r="K49" s="16">
        <f t="shared" si="0"/>
        <v>0</v>
      </c>
      <c r="L49" s="17">
        <v>11962951</v>
      </c>
      <c r="M49" s="18" t="s">
        <v>167</v>
      </c>
      <c r="N49" s="19" t="s">
        <v>88</v>
      </c>
      <c r="O49" s="20">
        <v>46110</v>
      </c>
      <c r="P49" s="76">
        <v>1</v>
      </c>
      <c r="Q49" s="21">
        <f t="shared" si="1"/>
        <v>0.99999590403744876</v>
      </c>
      <c r="R49" s="50"/>
      <c r="S49" s="51" t="s">
        <v>106</v>
      </c>
      <c r="T49" s="79" t="s">
        <v>168</v>
      </c>
      <c r="U49" s="26" t="s">
        <v>17</v>
      </c>
      <c r="V49" s="27" t="s">
        <v>18</v>
      </c>
      <c r="W49" s="27" t="s">
        <v>19</v>
      </c>
      <c r="X49" s="28"/>
    </row>
    <row r="50" spans="1:24" s="29" customFormat="1" ht="78" customHeight="1" thickBot="1">
      <c r="A50" s="10">
        <f>SUBTOTAL(3,$D$3:D50)</f>
        <v>48</v>
      </c>
      <c r="B50" s="11" t="s">
        <v>136</v>
      </c>
      <c r="C50" s="11" t="s">
        <v>165</v>
      </c>
      <c r="D50" s="174" t="s">
        <v>169</v>
      </c>
      <c r="E50" s="174"/>
      <c r="F50" s="12" t="s">
        <v>10</v>
      </c>
      <c r="G50" s="13" t="s">
        <v>50</v>
      </c>
      <c r="H50" s="13" t="s">
        <v>12</v>
      </c>
      <c r="I50" s="14">
        <v>9986000</v>
      </c>
      <c r="J50" s="15">
        <v>9986000</v>
      </c>
      <c r="K50" s="16">
        <f t="shared" si="0"/>
        <v>0</v>
      </c>
      <c r="L50" s="17">
        <v>9985849.3000000007</v>
      </c>
      <c r="M50" s="18" t="s">
        <v>170</v>
      </c>
      <c r="N50" s="19" t="s">
        <v>88</v>
      </c>
      <c r="O50" s="20">
        <v>46110</v>
      </c>
      <c r="P50" s="76">
        <v>1</v>
      </c>
      <c r="Q50" s="21">
        <f t="shared" si="1"/>
        <v>0.99998490887242142</v>
      </c>
      <c r="R50" s="50"/>
      <c r="S50" s="51" t="s">
        <v>106</v>
      </c>
      <c r="T50" s="79" t="s">
        <v>171</v>
      </c>
      <c r="U50" s="26" t="s">
        <v>17</v>
      </c>
      <c r="V50" s="27" t="s">
        <v>18</v>
      </c>
      <c r="W50" s="27" t="s">
        <v>19</v>
      </c>
      <c r="X50" s="28"/>
    </row>
    <row r="51" spans="1:24" s="29" customFormat="1" ht="93.75" customHeight="1" thickBot="1">
      <c r="A51" s="10">
        <f>SUBTOTAL(3,$D$3:D51)</f>
        <v>49</v>
      </c>
      <c r="B51" s="11" t="s">
        <v>136</v>
      </c>
      <c r="C51" s="11" t="s">
        <v>165</v>
      </c>
      <c r="D51" s="174" t="s">
        <v>172</v>
      </c>
      <c r="E51" s="174"/>
      <c r="F51" s="12" t="s">
        <v>10</v>
      </c>
      <c r="G51" s="57" t="s">
        <v>43</v>
      </c>
      <c r="H51" s="13" t="s">
        <v>44</v>
      </c>
      <c r="I51" s="36">
        <v>11932000</v>
      </c>
      <c r="J51" s="15">
        <v>11932000</v>
      </c>
      <c r="K51" s="15">
        <f t="shared" si="0"/>
        <v>0</v>
      </c>
      <c r="L51" s="17"/>
      <c r="M51" s="18" t="s">
        <v>154</v>
      </c>
      <c r="N51" s="19" t="s">
        <v>155</v>
      </c>
      <c r="O51" s="80">
        <v>46110</v>
      </c>
      <c r="P51" s="72">
        <v>0.25</v>
      </c>
      <c r="Q51" s="81">
        <f t="shared" si="1"/>
        <v>0</v>
      </c>
      <c r="R51" s="50"/>
      <c r="S51" s="82" t="s">
        <v>15</v>
      </c>
      <c r="T51" s="83" t="s">
        <v>173</v>
      </c>
      <c r="U51" s="26" t="s">
        <v>17</v>
      </c>
      <c r="V51" s="27" t="s">
        <v>18</v>
      </c>
      <c r="W51" s="27" t="s">
        <v>19</v>
      </c>
      <c r="X51" s="28"/>
    </row>
    <row r="52" spans="1:24" s="29" customFormat="1" ht="78" customHeight="1" thickBot="1">
      <c r="A52" s="10">
        <f>SUBTOTAL(3,$D$3:D52)</f>
        <v>50</v>
      </c>
      <c r="B52" s="11" t="s">
        <v>136</v>
      </c>
      <c r="C52" s="11" t="s">
        <v>165</v>
      </c>
      <c r="D52" s="174" t="s">
        <v>174</v>
      </c>
      <c r="E52" s="174"/>
      <c r="F52" s="12" t="s">
        <v>10</v>
      </c>
      <c r="G52" s="57" t="s">
        <v>11</v>
      </c>
      <c r="H52" s="13" t="s">
        <v>12</v>
      </c>
      <c r="I52" s="14">
        <v>9985000</v>
      </c>
      <c r="J52" s="15">
        <v>9985000</v>
      </c>
      <c r="K52" s="16">
        <f t="shared" si="0"/>
        <v>0</v>
      </c>
      <c r="L52" s="17">
        <v>9984593.8499999996</v>
      </c>
      <c r="M52" s="18" t="s">
        <v>175</v>
      </c>
      <c r="N52" s="19" t="s">
        <v>88</v>
      </c>
      <c r="O52" s="20">
        <v>46110</v>
      </c>
      <c r="P52" s="76">
        <v>1</v>
      </c>
      <c r="Q52" s="21">
        <f>L52/J52</f>
        <v>0.99995932398597898</v>
      </c>
      <c r="R52" s="50"/>
      <c r="S52" s="51" t="s">
        <v>106</v>
      </c>
      <c r="T52" s="79" t="s">
        <v>171</v>
      </c>
      <c r="U52" s="26" t="s">
        <v>17</v>
      </c>
      <c r="V52" s="27" t="s">
        <v>18</v>
      </c>
      <c r="W52" s="27" t="s">
        <v>19</v>
      </c>
      <c r="X52" s="28"/>
    </row>
    <row r="53" spans="1:24" s="29" customFormat="1" ht="87.75" customHeight="1" thickBot="1">
      <c r="A53" s="10">
        <f>SUBTOTAL(3,$D$3:D53)</f>
        <v>51</v>
      </c>
      <c r="B53" s="11" t="s">
        <v>136</v>
      </c>
      <c r="C53" s="11" t="s">
        <v>165</v>
      </c>
      <c r="D53" s="174" t="s">
        <v>176</v>
      </c>
      <c r="E53" s="174"/>
      <c r="F53" s="12" t="s">
        <v>10</v>
      </c>
      <c r="G53" s="26" t="s">
        <v>43</v>
      </c>
      <c r="H53" s="49" t="s">
        <v>44</v>
      </c>
      <c r="I53" s="36">
        <v>18265000</v>
      </c>
      <c r="J53" s="15">
        <v>18265000</v>
      </c>
      <c r="K53" s="15">
        <f t="shared" si="0"/>
        <v>0</v>
      </c>
      <c r="L53" s="17"/>
      <c r="M53" s="18" t="s">
        <v>154</v>
      </c>
      <c r="N53" s="19" t="s">
        <v>155</v>
      </c>
      <c r="O53" s="20">
        <v>46110</v>
      </c>
      <c r="P53" s="72">
        <v>0.25</v>
      </c>
      <c r="Q53" s="81">
        <f>L53/J53</f>
        <v>0</v>
      </c>
      <c r="R53" s="50"/>
      <c r="S53" s="82" t="s">
        <v>15</v>
      </c>
      <c r="T53" s="83" t="s">
        <v>173</v>
      </c>
      <c r="U53" s="26" t="s">
        <v>17</v>
      </c>
      <c r="V53" s="27" t="s">
        <v>18</v>
      </c>
      <c r="W53" s="27" t="s">
        <v>19</v>
      </c>
      <c r="X53" s="28"/>
    </row>
    <row r="54" spans="1:24" s="29" customFormat="1" ht="137.25" customHeight="1" thickBot="1">
      <c r="A54" s="10">
        <f>SUBTOTAL(3,$D$3:D54)</f>
        <v>52</v>
      </c>
      <c r="B54" s="11" t="s">
        <v>136</v>
      </c>
      <c r="C54" s="11" t="s">
        <v>165</v>
      </c>
      <c r="D54" s="174" t="s">
        <v>177</v>
      </c>
      <c r="E54" s="174"/>
      <c r="F54" s="12" t="s">
        <v>10</v>
      </c>
      <c r="G54" s="57" t="s">
        <v>43</v>
      </c>
      <c r="H54" s="13" t="s">
        <v>44</v>
      </c>
      <c r="I54" s="36">
        <v>4000000</v>
      </c>
      <c r="J54" s="15">
        <v>3964000</v>
      </c>
      <c r="K54" s="15">
        <f t="shared" si="0"/>
        <v>36000</v>
      </c>
      <c r="L54" s="17">
        <v>3963295</v>
      </c>
      <c r="M54" s="18" t="s">
        <v>167</v>
      </c>
      <c r="N54" s="19" t="s">
        <v>124</v>
      </c>
      <c r="O54" s="20">
        <v>46118</v>
      </c>
      <c r="P54" s="76">
        <v>1</v>
      </c>
      <c r="Q54" s="22">
        <f t="shared" si="1"/>
        <v>0.99982214934409686</v>
      </c>
      <c r="R54" s="50"/>
      <c r="S54" s="51" t="s">
        <v>106</v>
      </c>
      <c r="T54" s="79" t="s">
        <v>178</v>
      </c>
      <c r="U54" s="26" t="s">
        <v>17</v>
      </c>
      <c r="V54" s="27" t="s">
        <v>48</v>
      </c>
      <c r="W54" s="27" t="s">
        <v>19</v>
      </c>
      <c r="X54" s="28"/>
    </row>
    <row r="55" spans="1:24" s="29" customFormat="1" ht="99" customHeight="1" thickBot="1">
      <c r="A55" s="10">
        <f>SUBTOTAL(3,$D$3:D55)</f>
        <v>53</v>
      </c>
      <c r="B55" s="11" t="s">
        <v>179</v>
      </c>
      <c r="C55" s="11" t="s">
        <v>180</v>
      </c>
      <c r="D55" s="174" t="s">
        <v>181</v>
      </c>
      <c r="E55" s="174"/>
      <c r="F55" s="12" t="s">
        <v>10</v>
      </c>
      <c r="G55" s="56" t="s">
        <v>26</v>
      </c>
      <c r="H55" s="13" t="s">
        <v>22</v>
      </c>
      <c r="I55" s="14">
        <v>17994000</v>
      </c>
      <c r="J55" s="15">
        <v>17994000</v>
      </c>
      <c r="K55" s="16">
        <f t="shared" si="0"/>
        <v>0</v>
      </c>
      <c r="L55" s="17"/>
      <c r="M55" s="18" t="s">
        <v>182</v>
      </c>
      <c r="N55" s="19" t="s">
        <v>183</v>
      </c>
      <c r="O55" s="20"/>
      <c r="P55" s="76"/>
      <c r="Q55" s="22">
        <f t="shared" si="1"/>
        <v>0</v>
      </c>
      <c r="R55" s="84"/>
      <c r="S55" s="24" t="s">
        <v>28</v>
      </c>
      <c r="T55" s="46" t="s">
        <v>184</v>
      </c>
      <c r="U55" s="26" t="s">
        <v>17</v>
      </c>
      <c r="V55" s="27" t="s">
        <v>18</v>
      </c>
      <c r="W55" s="27" t="s">
        <v>19</v>
      </c>
      <c r="X55" s="28"/>
    </row>
    <row r="56" spans="1:24" s="29" customFormat="1" ht="112.5" customHeight="1" thickBot="1">
      <c r="A56" s="10">
        <f>SUBTOTAL(3,$D$3:D56)</f>
        <v>54</v>
      </c>
      <c r="B56" s="11" t="s">
        <v>179</v>
      </c>
      <c r="C56" s="11" t="s">
        <v>180</v>
      </c>
      <c r="D56" s="174" t="s">
        <v>185</v>
      </c>
      <c r="E56" s="174"/>
      <c r="F56" s="12" t="s">
        <v>10</v>
      </c>
      <c r="G56" s="13" t="s">
        <v>26</v>
      </c>
      <c r="H56" s="13" t="s">
        <v>22</v>
      </c>
      <c r="I56" s="39">
        <v>8197000</v>
      </c>
      <c r="J56" s="15">
        <v>8197000</v>
      </c>
      <c r="K56" s="16">
        <f t="shared" si="0"/>
        <v>0</v>
      </c>
      <c r="L56" s="15">
        <v>8100925</v>
      </c>
      <c r="M56" s="18" t="s">
        <v>40</v>
      </c>
      <c r="N56" s="19" t="s">
        <v>186</v>
      </c>
      <c r="O56" s="20">
        <v>46127</v>
      </c>
      <c r="P56" s="76">
        <v>1</v>
      </c>
      <c r="Q56" s="22">
        <f t="shared" si="1"/>
        <v>0.98827924850555082</v>
      </c>
      <c r="R56" s="84"/>
      <c r="S56" s="51" t="s">
        <v>106</v>
      </c>
      <c r="T56" s="60" t="s">
        <v>187</v>
      </c>
      <c r="U56" s="26" t="s">
        <v>17</v>
      </c>
      <c r="V56" s="27" t="s">
        <v>18</v>
      </c>
      <c r="W56" s="27" t="s">
        <v>19</v>
      </c>
      <c r="X56" s="28"/>
    </row>
    <row r="57" spans="1:24" s="29" customFormat="1" ht="72.75" customHeight="1" thickBot="1">
      <c r="A57" s="10">
        <f>SUBTOTAL(3,$D$3:D57)</f>
        <v>55</v>
      </c>
      <c r="B57" s="11" t="s">
        <v>179</v>
      </c>
      <c r="C57" s="11" t="s">
        <v>180</v>
      </c>
      <c r="D57" s="174" t="s">
        <v>188</v>
      </c>
      <c r="E57" s="174"/>
      <c r="F57" s="12" t="s">
        <v>10</v>
      </c>
      <c r="G57" s="49" t="s">
        <v>71</v>
      </c>
      <c r="H57" s="49" t="s">
        <v>32</v>
      </c>
      <c r="I57" s="39">
        <v>12000000</v>
      </c>
      <c r="J57" s="15">
        <v>11890000</v>
      </c>
      <c r="K57" s="16">
        <f t="shared" si="0"/>
        <v>110000</v>
      </c>
      <c r="L57" s="17"/>
      <c r="M57" s="18" t="s">
        <v>189</v>
      </c>
      <c r="N57" s="19" t="s">
        <v>111</v>
      </c>
      <c r="O57" s="20">
        <v>46126</v>
      </c>
      <c r="P57" s="76">
        <v>0.2</v>
      </c>
      <c r="Q57" s="22">
        <f t="shared" si="1"/>
        <v>0</v>
      </c>
      <c r="R57" s="84"/>
      <c r="S57" s="24" t="s">
        <v>15</v>
      </c>
      <c r="T57" s="43" t="s">
        <v>16</v>
      </c>
      <c r="U57" s="26" t="s">
        <v>17</v>
      </c>
      <c r="V57" s="27" t="s">
        <v>18</v>
      </c>
      <c r="W57" s="27" t="s">
        <v>19</v>
      </c>
      <c r="X57" s="28"/>
    </row>
    <row r="58" spans="1:24" s="29" customFormat="1" ht="158.25" customHeight="1" thickBot="1">
      <c r="A58" s="10">
        <f>SUBTOTAL(3,$D$3:D58)</f>
        <v>56</v>
      </c>
      <c r="B58" s="11" t="s">
        <v>179</v>
      </c>
      <c r="C58" s="11" t="s">
        <v>180</v>
      </c>
      <c r="D58" s="174" t="s">
        <v>190</v>
      </c>
      <c r="E58" s="174"/>
      <c r="F58" s="12" t="s">
        <v>10</v>
      </c>
      <c r="G58" s="49" t="s">
        <v>21</v>
      </c>
      <c r="H58" s="49" t="s">
        <v>22</v>
      </c>
      <c r="I58" s="39">
        <v>9902000</v>
      </c>
      <c r="J58" s="15">
        <v>9902000</v>
      </c>
      <c r="K58" s="16">
        <f t="shared" si="0"/>
        <v>0</v>
      </c>
      <c r="L58" s="17"/>
      <c r="M58" s="18" t="s">
        <v>191</v>
      </c>
      <c r="N58" s="19" t="s">
        <v>124</v>
      </c>
      <c r="O58" s="20">
        <v>46125</v>
      </c>
      <c r="P58" s="76">
        <v>0.95</v>
      </c>
      <c r="Q58" s="22">
        <f t="shared" si="1"/>
        <v>0</v>
      </c>
      <c r="R58" s="84"/>
      <c r="S58" s="24" t="s">
        <v>15</v>
      </c>
      <c r="T58" s="43" t="s">
        <v>16</v>
      </c>
      <c r="U58" s="26" t="s">
        <v>17</v>
      </c>
      <c r="V58" s="27" t="s">
        <v>18</v>
      </c>
      <c r="W58" s="27" t="s">
        <v>19</v>
      </c>
      <c r="X58" s="28"/>
    </row>
    <row r="59" spans="1:24" s="29" customFormat="1" ht="117" customHeight="1" thickBot="1">
      <c r="A59" s="10">
        <f>SUBTOTAL(3,$D$3:D59)</f>
        <v>57</v>
      </c>
      <c r="B59" s="11" t="s">
        <v>179</v>
      </c>
      <c r="C59" s="11" t="s">
        <v>192</v>
      </c>
      <c r="D59" s="174" t="s">
        <v>193</v>
      </c>
      <c r="E59" s="174"/>
      <c r="F59" s="12" t="s">
        <v>10</v>
      </c>
      <c r="G59" s="49" t="s">
        <v>21</v>
      </c>
      <c r="H59" s="49" t="s">
        <v>22</v>
      </c>
      <c r="I59" s="39">
        <v>28000000</v>
      </c>
      <c r="J59" s="15">
        <v>28000000</v>
      </c>
      <c r="K59" s="16">
        <f t="shared" si="0"/>
        <v>0</v>
      </c>
      <c r="L59" s="15">
        <v>18692758</v>
      </c>
      <c r="M59" s="18" t="s">
        <v>194</v>
      </c>
      <c r="N59" s="19" t="s">
        <v>34</v>
      </c>
      <c r="O59" s="20">
        <v>46128</v>
      </c>
      <c r="P59" s="76">
        <v>0.95</v>
      </c>
      <c r="Q59" s="22">
        <f t="shared" si="1"/>
        <v>0.66759849999999998</v>
      </c>
      <c r="R59" s="84"/>
      <c r="S59" s="24" t="s">
        <v>15</v>
      </c>
      <c r="T59" s="43" t="s">
        <v>16</v>
      </c>
      <c r="U59" s="26" t="s">
        <v>17</v>
      </c>
      <c r="V59" s="26" t="s">
        <v>18</v>
      </c>
      <c r="W59" s="26" t="s">
        <v>19</v>
      </c>
      <c r="X59" s="26"/>
    </row>
    <row r="60" spans="1:24" s="29" customFormat="1" ht="72.75" customHeight="1" thickBot="1">
      <c r="A60" s="10">
        <f>SUBTOTAL(3,$D$3:D60)</f>
        <v>58</v>
      </c>
      <c r="B60" s="11" t="s">
        <v>179</v>
      </c>
      <c r="C60" s="11" t="s">
        <v>192</v>
      </c>
      <c r="D60" s="174" t="s">
        <v>195</v>
      </c>
      <c r="E60" s="174"/>
      <c r="F60" s="12" t="s">
        <v>10</v>
      </c>
      <c r="G60" s="49" t="s">
        <v>21</v>
      </c>
      <c r="H60" s="49" t="s">
        <v>22</v>
      </c>
      <c r="I60" s="39">
        <v>2948000</v>
      </c>
      <c r="J60" s="15">
        <v>2948000</v>
      </c>
      <c r="K60" s="16">
        <f t="shared" si="0"/>
        <v>0</v>
      </c>
      <c r="L60" s="15">
        <v>2947630</v>
      </c>
      <c r="M60" s="64" t="s">
        <v>194</v>
      </c>
      <c r="N60" s="19" t="s">
        <v>186</v>
      </c>
      <c r="O60" s="20">
        <v>46128</v>
      </c>
      <c r="P60" s="76">
        <v>1</v>
      </c>
      <c r="Q60" s="22">
        <f t="shared" si="1"/>
        <v>0.99987449118046134</v>
      </c>
      <c r="R60" s="84"/>
      <c r="S60" s="51" t="s">
        <v>106</v>
      </c>
      <c r="T60" s="60" t="s">
        <v>196</v>
      </c>
      <c r="U60" s="85" t="s">
        <v>17</v>
      </c>
      <c r="V60" s="85" t="s">
        <v>18</v>
      </c>
      <c r="W60" s="85" t="s">
        <v>19</v>
      </c>
      <c r="X60" s="85"/>
    </row>
    <row r="61" spans="1:24" s="29" customFormat="1" ht="114" customHeight="1" thickBot="1">
      <c r="A61" s="10">
        <f>SUBTOTAL(3,$D$3:D61)</f>
        <v>59</v>
      </c>
      <c r="B61" s="11" t="s">
        <v>179</v>
      </c>
      <c r="C61" s="11" t="s">
        <v>192</v>
      </c>
      <c r="D61" s="174" t="s">
        <v>197</v>
      </c>
      <c r="E61" s="174"/>
      <c r="F61" s="12" t="s">
        <v>10</v>
      </c>
      <c r="G61" s="49" t="s">
        <v>109</v>
      </c>
      <c r="H61" s="49" t="s">
        <v>32</v>
      </c>
      <c r="I61" s="39">
        <v>12000000</v>
      </c>
      <c r="J61" s="15">
        <v>11973000</v>
      </c>
      <c r="K61" s="16">
        <f t="shared" si="0"/>
        <v>27000</v>
      </c>
      <c r="L61" s="17"/>
      <c r="M61" s="18" t="s">
        <v>198</v>
      </c>
      <c r="N61" s="19" t="s">
        <v>183</v>
      </c>
      <c r="O61" s="20">
        <v>46141</v>
      </c>
      <c r="P61" s="76">
        <v>0.2</v>
      </c>
      <c r="Q61" s="22">
        <f t="shared" si="1"/>
        <v>0</v>
      </c>
      <c r="R61" s="84"/>
      <c r="S61" s="24" t="s">
        <v>15</v>
      </c>
      <c r="T61" s="43" t="s">
        <v>16</v>
      </c>
      <c r="U61" s="85" t="s">
        <v>17</v>
      </c>
      <c r="V61" s="85" t="s">
        <v>18</v>
      </c>
      <c r="W61" s="85" t="s">
        <v>19</v>
      </c>
      <c r="X61" s="85"/>
    </row>
    <row r="62" spans="1:24" s="29" customFormat="1" ht="108" customHeight="1" thickBot="1">
      <c r="A62" s="10">
        <f>SUBTOTAL(3,$D$3:D62)</f>
        <v>60</v>
      </c>
      <c r="B62" s="11" t="s">
        <v>179</v>
      </c>
      <c r="C62" s="11" t="s">
        <v>192</v>
      </c>
      <c r="D62" s="174" t="s">
        <v>199</v>
      </c>
      <c r="E62" s="174"/>
      <c r="F62" s="12" t="s">
        <v>10</v>
      </c>
      <c r="G62" s="49" t="s">
        <v>109</v>
      </c>
      <c r="H62" s="49" t="s">
        <v>32</v>
      </c>
      <c r="I62" s="39">
        <v>12000000</v>
      </c>
      <c r="J62" s="15">
        <v>11890000</v>
      </c>
      <c r="K62" s="16">
        <f t="shared" si="0"/>
        <v>110000</v>
      </c>
      <c r="L62" s="17"/>
      <c r="M62" s="18" t="s">
        <v>33</v>
      </c>
      <c r="N62" s="19" t="s">
        <v>111</v>
      </c>
      <c r="O62" s="20">
        <v>46141</v>
      </c>
      <c r="P62" s="76">
        <v>0.1</v>
      </c>
      <c r="Q62" s="22">
        <f t="shared" si="1"/>
        <v>0</v>
      </c>
      <c r="R62" s="84"/>
      <c r="S62" s="24" t="s">
        <v>15</v>
      </c>
      <c r="T62" s="43" t="s">
        <v>16</v>
      </c>
      <c r="U62" s="85" t="s">
        <v>17</v>
      </c>
      <c r="V62" s="85" t="s">
        <v>18</v>
      </c>
      <c r="W62" s="85" t="s">
        <v>19</v>
      </c>
      <c r="X62" s="85"/>
    </row>
    <row r="63" spans="1:24" s="29" customFormat="1" ht="72.75" customHeight="1" thickBot="1">
      <c r="A63" s="10">
        <f>SUBTOTAL(3,$D$3:D63)</f>
        <v>61</v>
      </c>
      <c r="B63" s="11" t="s">
        <v>179</v>
      </c>
      <c r="C63" s="11" t="s">
        <v>192</v>
      </c>
      <c r="D63" s="174" t="s">
        <v>200</v>
      </c>
      <c r="E63" s="174"/>
      <c r="F63" s="12" t="s">
        <v>10</v>
      </c>
      <c r="G63" s="49" t="s">
        <v>109</v>
      </c>
      <c r="H63" s="49" t="s">
        <v>32</v>
      </c>
      <c r="I63" s="39">
        <v>4000000</v>
      </c>
      <c r="J63" s="15">
        <v>3999000</v>
      </c>
      <c r="K63" s="16">
        <f t="shared" si="0"/>
        <v>1000</v>
      </c>
      <c r="L63" s="15">
        <v>3998995</v>
      </c>
      <c r="M63" s="18" t="s">
        <v>201</v>
      </c>
      <c r="N63" s="19" t="s">
        <v>202</v>
      </c>
      <c r="O63" s="20">
        <v>46126</v>
      </c>
      <c r="P63" s="76">
        <v>1</v>
      </c>
      <c r="Q63" s="22">
        <f t="shared" si="1"/>
        <v>0.99999874968742186</v>
      </c>
      <c r="R63" s="84"/>
      <c r="S63" s="51" t="s">
        <v>106</v>
      </c>
      <c r="T63" s="60" t="s">
        <v>203</v>
      </c>
      <c r="U63" s="85" t="s">
        <v>17</v>
      </c>
      <c r="V63" s="85" t="s">
        <v>18</v>
      </c>
      <c r="W63" s="85" t="s">
        <v>19</v>
      </c>
      <c r="X63" s="85"/>
    </row>
    <row r="64" spans="1:24" s="29" customFormat="1" ht="110.25" customHeight="1" thickBot="1">
      <c r="A64" s="10">
        <f>SUBTOTAL(3,$D$3:D64)</f>
        <v>62</v>
      </c>
      <c r="B64" s="11" t="s">
        <v>179</v>
      </c>
      <c r="C64" s="11" t="s">
        <v>192</v>
      </c>
      <c r="D64" s="174" t="s">
        <v>204</v>
      </c>
      <c r="E64" s="174"/>
      <c r="F64" s="12" t="s">
        <v>10</v>
      </c>
      <c r="G64" s="49"/>
      <c r="H64" s="49"/>
      <c r="I64" s="39">
        <v>0</v>
      </c>
      <c r="J64" s="15">
        <v>15000000</v>
      </c>
      <c r="K64" s="16">
        <f t="shared" si="0"/>
        <v>-15000000</v>
      </c>
      <c r="L64" s="17"/>
      <c r="M64" s="18" t="s">
        <v>205</v>
      </c>
      <c r="N64" s="19" t="s">
        <v>86</v>
      </c>
      <c r="O64" s="20"/>
      <c r="P64" s="76"/>
      <c r="Q64" s="22">
        <f t="shared" si="1"/>
        <v>0</v>
      </c>
      <c r="R64" s="84"/>
      <c r="S64" s="86" t="s">
        <v>28</v>
      </c>
      <c r="T64" s="87" t="s">
        <v>206</v>
      </c>
      <c r="U64" s="88" t="s">
        <v>17</v>
      </c>
      <c r="V64" s="27" t="s">
        <v>18</v>
      </c>
      <c r="W64" s="27" t="s">
        <v>19</v>
      </c>
      <c r="X64" s="85" t="s">
        <v>135</v>
      </c>
    </row>
    <row r="65" spans="1:24" s="29" customFormat="1" ht="72.75" customHeight="1" thickBot="1">
      <c r="A65" s="10">
        <f>SUBTOTAL(3,$D$3:D65)</f>
        <v>63</v>
      </c>
      <c r="B65" s="11" t="s">
        <v>207</v>
      </c>
      <c r="C65" s="11" t="s">
        <v>207</v>
      </c>
      <c r="D65" s="174" t="s">
        <v>208</v>
      </c>
      <c r="E65" s="174"/>
      <c r="F65" s="12" t="s">
        <v>10</v>
      </c>
      <c r="G65" s="49" t="s">
        <v>11</v>
      </c>
      <c r="H65" s="49" t="s">
        <v>12</v>
      </c>
      <c r="I65" s="39">
        <v>5176000</v>
      </c>
      <c r="J65" s="15">
        <v>5176000</v>
      </c>
      <c r="K65" s="16">
        <f t="shared" si="0"/>
        <v>0</v>
      </c>
      <c r="L65" s="17"/>
      <c r="M65" s="18" t="s">
        <v>209</v>
      </c>
      <c r="N65" s="19" t="s">
        <v>124</v>
      </c>
      <c r="O65" s="20">
        <v>46133</v>
      </c>
      <c r="P65" s="76">
        <v>0.2</v>
      </c>
      <c r="Q65" s="22">
        <f t="shared" si="1"/>
        <v>0</v>
      </c>
      <c r="R65" s="89"/>
      <c r="S65" s="24" t="s">
        <v>15</v>
      </c>
      <c r="T65" s="43" t="s">
        <v>59</v>
      </c>
      <c r="U65" s="85" t="s">
        <v>17</v>
      </c>
      <c r="V65" s="85" t="s">
        <v>18</v>
      </c>
      <c r="W65" s="85" t="s">
        <v>19</v>
      </c>
      <c r="X65" s="85"/>
    </row>
    <row r="66" spans="1:24" s="29" customFormat="1" ht="160.5" customHeight="1" thickBot="1">
      <c r="A66" s="10">
        <f>SUBTOTAL(3,$D$3:D66)</f>
        <v>64</v>
      </c>
      <c r="B66" s="11" t="s">
        <v>207</v>
      </c>
      <c r="C66" s="11" t="s">
        <v>207</v>
      </c>
      <c r="D66" s="174" t="s">
        <v>210</v>
      </c>
      <c r="E66" s="174"/>
      <c r="F66" s="12" t="s">
        <v>10</v>
      </c>
      <c r="G66" s="13" t="s">
        <v>43</v>
      </c>
      <c r="H66" s="13" t="s">
        <v>44</v>
      </c>
      <c r="I66" s="36">
        <v>20772000</v>
      </c>
      <c r="J66" s="15">
        <v>20772000</v>
      </c>
      <c r="K66" s="15">
        <f t="shared" si="0"/>
        <v>0</v>
      </c>
      <c r="L66" s="17"/>
      <c r="M66" s="18" t="s">
        <v>211</v>
      </c>
      <c r="N66" s="19" t="s">
        <v>155</v>
      </c>
      <c r="O66" s="20">
        <v>46146</v>
      </c>
      <c r="P66" s="76">
        <v>0.1</v>
      </c>
      <c r="Q66" s="22">
        <f t="shared" si="1"/>
        <v>0</v>
      </c>
      <c r="R66" s="89"/>
      <c r="S66" s="24" t="s">
        <v>15</v>
      </c>
      <c r="T66" s="43" t="s">
        <v>59</v>
      </c>
      <c r="U66" s="85" t="s">
        <v>17</v>
      </c>
      <c r="V66" s="85" t="s">
        <v>18</v>
      </c>
      <c r="W66" s="85" t="s">
        <v>19</v>
      </c>
      <c r="X66" s="85"/>
    </row>
    <row r="67" spans="1:24" s="29" customFormat="1" ht="48.75" customHeight="1" thickBot="1">
      <c r="A67" s="10">
        <f>SUBTOTAL(3,$D$3:D67)</f>
        <v>65</v>
      </c>
      <c r="B67" s="11" t="s">
        <v>207</v>
      </c>
      <c r="C67" s="11" t="s">
        <v>207</v>
      </c>
      <c r="D67" s="174" t="s">
        <v>212</v>
      </c>
      <c r="E67" s="174"/>
      <c r="F67" s="12" t="s">
        <v>10</v>
      </c>
      <c r="G67" s="49" t="s">
        <v>21</v>
      </c>
      <c r="H67" s="49" t="s">
        <v>22</v>
      </c>
      <c r="I67" s="39">
        <v>10623000</v>
      </c>
      <c r="J67" s="15">
        <v>10623000</v>
      </c>
      <c r="K67" s="16">
        <f t="shared" ref="K67:K117" si="3">I67-J67</f>
        <v>0</v>
      </c>
      <c r="L67" s="17"/>
      <c r="M67" s="18" t="s">
        <v>213</v>
      </c>
      <c r="N67" s="19" t="s">
        <v>58</v>
      </c>
      <c r="O67" s="20">
        <v>46146</v>
      </c>
      <c r="P67" s="76">
        <v>0.1</v>
      </c>
      <c r="Q67" s="22">
        <f t="shared" ref="Q67:Q108" si="4">L67/J67</f>
        <v>0</v>
      </c>
      <c r="R67" s="89"/>
      <c r="S67" s="24" t="s">
        <v>15</v>
      </c>
      <c r="T67" s="43" t="s">
        <v>59</v>
      </c>
      <c r="U67" s="85" t="s">
        <v>17</v>
      </c>
      <c r="V67" s="85" t="s">
        <v>18</v>
      </c>
      <c r="W67" s="85" t="s">
        <v>19</v>
      </c>
      <c r="X67" s="85"/>
    </row>
    <row r="68" spans="1:24" s="29" customFormat="1" ht="72.75" customHeight="1" thickBot="1">
      <c r="A68" s="10">
        <f>SUBTOTAL(3,$D$3:D68)</f>
        <v>66</v>
      </c>
      <c r="B68" s="11" t="s">
        <v>207</v>
      </c>
      <c r="C68" s="11" t="s">
        <v>207</v>
      </c>
      <c r="D68" s="174" t="s">
        <v>214</v>
      </c>
      <c r="E68" s="174"/>
      <c r="F68" s="12" t="s">
        <v>10</v>
      </c>
      <c r="G68" s="13" t="s">
        <v>11</v>
      </c>
      <c r="H68" s="13" t="s">
        <v>12</v>
      </c>
      <c r="I68" s="39">
        <v>9997000</v>
      </c>
      <c r="J68" s="15">
        <v>9997000</v>
      </c>
      <c r="K68" s="16">
        <f t="shared" si="3"/>
        <v>0</v>
      </c>
      <c r="L68" s="17"/>
      <c r="M68" s="18" t="s">
        <v>215</v>
      </c>
      <c r="N68" s="19" t="s">
        <v>88</v>
      </c>
      <c r="O68" s="20">
        <v>46133</v>
      </c>
      <c r="P68" s="76">
        <v>0.35</v>
      </c>
      <c r="Q68" s="22">
        <f t="shared" si="4"/>
        <v>0</v>
      </c>
      <c r="R68" s="24" t="s">
        <v>15</v>
      </c>
      <c r="S68" s="24" t="s">
        <v>15</v>
      </c>
      <c r="T68" s="43" t="s">
        <v>59</v>
      </c>
      <c r="U68" s="85" t="s">
        <v>17</v>
      </c>
      <c r="V68" s="85" t="s">
        <v>18</v>
      </c>
      <c r="W68" s="85" t="s">
        <v>19</v>
      </c>
      <c r="X68" s="85"/>
    </row>
    <row r="69" spans="1:24" s="29" customFormat="1" ht="67.5" customHeight="1" thickBot="1">
      <c r="A69" s="10">
        <f>SUBTOTAL(3,$D$3:D69)</f>
        <v>67</v>
      </c>
      <c r="B69" s="11" t="s">
        <v>207</v>
      </c>
      <c r="C69" s="11" t="s">
        <v>207</v>
      </c>
      <c r="D69" s="174" t="s">
        <v>216</v>
      </c>
      <c r="E69" s="174"/>
      <c r="F69" s="12" t="s">
        <v>10</v>
      </c>
      <c r="G69" s="13" t="s">
        <v>11</v>
      </c>
      <c r="H69" s="13" t="s">
        <v>12</v>
      </c>
      <c r="I69" s="39">
        <v>14993000</v>
      </c>
      <c r="J69" s="15">
        <v>14993000</v>
      </c>
      <c r="K69" s="16">
        <f t="shared" si="3"/>
        <v>0</v>
      </c>
      <c r="L69" s="17"/>
      <c r="M69" s="18" t="s">
        <v>217</v>
      </c>
      <c r="N69" s="19" t="s">
        <v>38</v>
      </c>
      <c r="O69" s="20">
        <v>46146</v>
      </c>
      <c r="P69" s="76">
        <v>0.15</v>
      </c>
      <c r="Q69" s="22">
        <f t="shared" si="4"/>
        <v>0</v>
      </c>
      <c r="R69" s="89"/>
      <c r="S69" s="24" t="s">
        <v>15</v>
      </c>
      <c r="T69" s="43" t="s">
        <v>59</v>
      </c>
      <c r="U69" s="85" t="s">
        <v>17</v>
      </c>
      <c r="V69" s="85" t="s">
        <v>18</v>
      </c>
      <c r="W69" s="85" t="s">
        <v>19</v>
      </c>
      <c r="X69" s="85"/>
    </row>
    <row r="70" spans="1:24" s="29" customFormat="1" ht="72.75" customHeight="1" thickBot="1">
      <c r="A70" s="10">
        <f>SUBTOTAL(3,$D$3:D70)</f>
        <v>68</v>
      </c>
      <c r="B70" s="11" t="s">
        <v>207</v>
      </c>
      <c r="C70" s="11" t="s">
        <v>207</v>
      </c>
      <c r="D70" s="174" t="s">
        <v>218</v>
      </c>
      <c r="E70" s="174"/>
      <c r="F70" s="12" t="s">
        <v>10</v>
      </c>
      <c r="G70" s="13" t="s">
        <v>11</v>
      </c>
      <c r="H70" s="13" t="s">
        <v>12</v>
      </c>
      <c r="I70" s="39">
        <v>15582000</v>
      </c>
      <c r="J70" s="15">
        <v>15582000</v>
      </c>
      <c r="K70" s="16">
        <f t="shared" si="3"/>
        <v>0</v>
      </c>
      <c r="L70" s="17"/>
      <c r="M70" s="18" t="s">
        <v>219</v>
      </c>
      <c r="N70" s="19" t="s">
        <v>38</v>
      </c>
      <c r="O70" s="20">
        <v>46146</v>
      </c>
      <c r="P70" s="76">
        <v>0.5</v>
      </c>
      <c r="Q70" s="22">
        <f t="shared" si="4"/>
        <v>0</v>
      </c>
      <c r="R70" s="89"/>
      <c r="S70" s="24" t="s">
        <v>15</v>
      </c>
      <c r="T70" s="43" t="s">
        <v>59</v>
      </c>
      <c r="U70" s="85" t="s">
        <v>17</v>
      </c>
      <c r="V70" s="85" t="s">
        <v>18</v>
      </c>
      <c r="W70" s="85" t="s">
        <v>19</v>
      </c>
      <c r="X70" s="85"/>
    </row>
    <row r="71" spans="1:24" s="90" customFormat="1" ht="106.5" customHeight="1" thickBot="1">
      <c r="A71" s="10">
        <f>SUBTOTAL(3,$D$3:D71)</f>
        <v>69</v>
      </c>
      <c r="B71" s="11" t="s">
        <v>207</v>
      </c>
      <c r="C71" s="11" t="s">
        <v>220</v>
      </c>
      <c r="D71" s="174" t="s">
        <v>221</v>
      </c>
      <c r="E71" s="174"/>
      <c r="F71" s="12" t="s">
        <v>10</v>
      </c>
      <c r="G71" s="13" t="s">
        <v>43</v>
      </c>
      <c r="H71" s="13" t="s">
        <v>44</v>
      </c>
      <c r="I71" s="36">
        <v>20000000</v>
      </c>
      <c r="J71" s="15">
        <v>20230000</v>
      </c>
      <c r="K71" s="15">
        <f t="shared" si="3"/>
        <v>-230000</v>
      </c>
      <c r="L71" s="17"/>
      <c r="M71" s="18" t="s">
        <v>222</v>
      </c>
      <c r="N71" s="19" t="s">
        <v>38</v>
      </c>
      <c r="O71" s="20"/>
      <c r="P71" s="76"/>
      <c r="Q71" s="22"/>
      <c r="R71" s="84"/>
      <c r="S71" s="24" t="s">
        <v>223</v>
      </c>
      <c r="T71" s="46" t="s">
        <v>224</v>
      </c>
      <c r="U71" s="85" t="s">
        <v>17</v>
      </c>
      <c r="V71" s="85" t="s">
        <v>48</v>
      </c>
      <c r="W71" s="85" t="s">
        <v>19</v>
      </c>
      <c r="X71" s="85"/>
    </row>
    <row r="72" spans="1:24" s="29" customFormat="1" ht="72.75" customHeight="1" thickBot="1">
      <c r="A72" s="10">
        <f>SUBTOTAL(3,$D$3:D72)</f>
        <v>70</v>
      </c>
      <c r="B72" s="11" t="s">
        <v>207</v>
      </c>
      <c r="C72" s="11" t="s">
        <v>220</v>
      </c>
      <c r="D72" s="174" t="s">
        <v>225</v>
      </c>
      <c r="E72" s="174"/>
      <c r="F72" s="12" t="s">
        <v>10</v>
      </c>
      <c r="G72" s="13" t="s">
        <v>109</v>
      </c>
      <c r="H72" s="13" t="s">
        <v>32</v>
      </c>
      <c r="I72" s="39">
        <v>17500000</v>
      </c>
      <c r="J72" s="15">
        <v>17500000</v>
      </c>
      <c r="K72" s="16">
        <f t="shared" si="3"/>
        <v>0</v>
      </c>
      <c r="L72" s="17"/>
      <c r="M72" s="18" t="s">
        <v>226</v>
      </c>
      <c r="N72" s="19" t="s">
        <v>38</v>
      </c>
      <c r="O72" s="20">
        <v>46146</v>
      </c>
      <c r="P72" s="76">
        <v>0.2</v>
      </c>
      <c r="Q72" s="22">
        <f t="shared" si="4"/>
        <v>0</v>
      </c>
      <c r="R72" s="84"/>
      <c r="S72" s="24" t="s">
        <v>15</v>
      </c>
      <c r="T72" s="43" t="s">
        <v>59</v>
      </c>
      <c r="U72" s="85" t="s">
        <v>17</v>
      </c>
      <c r="V72" s="85" t="s">
        <v>18</v>
      </c>
      <c r="W72" s="85" t="s">
        <v>19</v>
      </c>
      <c r="X72" s="85"/>
    </row>
    <row r="73" spans="1:24" s="90" customFormat="1" ht="93.75" customHeight="1" thickBot="1">
      <c r="A73" s="10">
        <f>SUBTOTAL(3,$D$3:D73)</f>
        <v>71</v>
      </c>
      <c r="B73" s="11" t="s">
        <v>207</v>
      </c>
      <c r="C73" s="11" t="s">
        <v>220</v>
      </c>
      <c r="D73" s="174" t="s">
        <v>227</v>
      </c>
      <c r="E73" s="174"/>
      <c r="F73" s="12" t="s">
        <v>10</v>
      </c>
      <c r="G73" s="13" t="s">
        <v>43</v>
      </c>
      <c r="H73" s="13" t="s">
        <v>44</v>
      </c>
      <c r="I73" s="36">
        <v>8000000</v>
      </c>
      <c r="J73" s="15">
        <v>7499000</v>
      </c>
      <c r="K73" s="15">
        <f t="shared" si="3"/>
        <v>501000</v>
      </c>
      <c r="L73" s="17"/>
      <c r="M73" s="18" t="s">
        <v>228</v>
      </c>
      <c r="N73" s="91" t="s">
        <v>88</v>
      </c>
      <c r="O73" s="20">
        <v>46209</v>
      </c>
      <c r="P73" s="76">
        <v>0.6</v>
      </c>
      <c r="Q73" s="22">
        <f t="shared" si="4"/>
        <v>0</v>
      </c>
      <c r="R73" s="84"/>
      <c r="S73" s="24" t="s">
        <v>15</v>
      </c>
      <c r="T73" s="43" t="s">
        <v>59</v>
      </c>
      <c r="U73" s="85" t="s">
        <v>17</v>
      </c>
      <c r="V73" s="85" t="s">
        <v>48</v>
      </c>
      <c r="W73" s="85" t="s">
        <v>19</v>
      </c>
      <c r="X73" s="85"/>
    </row>
    <row r="74" spans="1:24" s="29" customFormat="1" ht="90" customHeight="1" thickBot="1">
      <c r="A74" s="10">
        <f>SUBTOTAL(3,$D$3:D74)</f>
        <v>72</v>
      </c>
      <c r="B74" s="11" t="s">
        <v>207</v>
      </c>
      <c r="C74" s="11" t="s">
        <v>220</v>
      </c>
      <c r="D74" s="174" t="s">
        <v>229</v>
      </c>
      <c r="E74" s="174"/>
      <c r="F74" s="12" t="s">
        <v>10</v>
      </c>
      <c r="G74" s="13" t="s">
        <v>21</v>
      </c>
      <c r="H74" s="13" t="s">
        <v>22</v>
      </c>
      <c r="I74" s="39">
        <v>6000000</v>
      </c>
      <c r="J74" s="15">
        <v>6000000</v>
      </c>
      <c r="K74" s="16">
        <f t="shared" si="3"/>
        <v>0</v>
      </c>
      <c r="L74" s="17"/>
      <c r="M74" s="18" t="s">
        <v>213</v>
      </c>
      <c r="N74" s="19" t="s">
        <v>38</v>
      </c>
      <c r="O74" s="20">
        <v>46148</v>
      </c>
      <c r="P74" s="76">
        <v>0.05</v>
      </c>
      <c r="Q74" s="22">
        <f t="shared" si="4"/>
        <v>0</v>
      </c>
      <c r="R74" s="84"/>
      <c r="S74" s="24" t="s">
        <v>15</v>
      </c>
      <c r="T74" s="43" t="s">
        <v>59</v>
      </c>
      <c r="U74" s="85" t="s">
        <v>17</v>
      </c>
      <c r="V74" s="85" t="s">
        <v>18</v>
      </c>
      <c r="W74" s="85" t="s">
        <v>19</v>
      </c>
      <c r="X74" s="85"/>
    </row>
    <row r="75" spans="1:24" s="29" customFormat="1" ht="63" customHeight="1" thickBot="1">
      <c r="A75" s="10">
        <f>SUBTOTAL(3,$D$3:D75)</f>
        <v>73</v>
      </c>
      <c r="B75" s="11" t="s">
        <v>207</v>
      </c>
      <c r="C75" s="11" t="s">
        <v>220</v>
      </c>
      <c r="D75" s="174" t="s">
        <v>230</v>
      </c>
      <c r="E75" s="174"/>
      <c r="F75" s="12" t="s">
        <v>10</v>
      </c>
      <c r="G75" s="49" t="s">
        <v>26</v>
      </c>
      <c r="H75" s="49" t="s">
        <v>22</v>
      </c>
      <c r="I75" s="39">
        <v>5680000</v>
      </c>
      <c r="J75" s="15">
        <v>5680000</v>
      </c>
      <c r="K75" s="16">
        <f t="shared" si="3"/>
        <v>0</v>
      </c>
      <c r="L75" s="17"/>
      <c r="M75" s="18" t="s">
        <v>213</v>
      </c>
      <c r="N75" s="19" t="s">
        <v>38</v>
      </c>
      <c r="O75" s="20">
        <v>46148</v>
      </c>
      <c r="P75" s="76">
        <v>0.5</v>
      </c>
      <c r="Q75" s="22">
        <f t="shared" si="4"/>
        <v>0</v>
      </c>
      <c r="R75" s="84"/>
      <c r="S75" s="24" t="s">
        <v>15</v>
      </c>
      <c r="T75" s="43" t="s">
        <v>59</v>
      </c>
      <c r="U75" s="85" t="s">
        <v>17</v>
      </c>
      <c r="V75" s="85" t="s">
        <v>18</v>
      </c>
      <c r="W75" s="85" t="s">
        <v>19</v>
      </c>
      <c r="X75" s="85"/>
    </row>
    <row r="76" spans="1:24" s="29" customFormat="1" ht="72.75" customHeight="1" thickBot="1">
      <c r="A76" s="10">
        <f>SUBTOTAL(3,$D$3:D76)</f>
        <v>74</v>
      </c>
      <c r="B76" s="11" t="s">
        <v>207</v>
      </c>
      <c r="C76" s="11" t="s">
        <v>231</v>
      </c>
      <c r="D76" s="174" t="s">
        <v>232</v>
      </c>
      <c r="E76" s="174"/>
      <c r="F76" s="12" t="s">
        <v>10</v>
      </c>
      <c r="G76" s="13" t="s">
        <v>21</v>
      </c>
      <c r="H76" s="13" t="s">
        <v>22</v>
      </c>
      <c r="I76" s="39">
        <v>6634000</v>
      </c>
      <c r="J76" s="15">
        <v>6634000</v>
      </c>
      <c r="K76" s="16">
        <f t="shared" si="3"/>
        <v>0</v>
      </c>
      <c r="L76" s="17"/>
      <c r="M76" s="18" t="s">
        <v>213</v>
      </c>
      <c r="N76" s="19" t="s">
        <v>88</v>
      </c>
      <c r="O76" s="20">
        <v>46120</v>
      </c>
      <c r="P76" s="92">
        <v>0.2</v>
      </c>
      <c r="Q76" s="22">
        <f t="shared" si="4"/>
        <v>0</v>
      </c>
      <c r="R76" s="84"/>
      <c r="S76" s="24" t="s">
        <v>15</v>
      </c>
      <c r="T76" s="43" t="s">
        <v>59</v>
      </c>
      <c r="U76" s="26" t="s">
        <v>17</v>
      </c>
      <c r="V76" s="27" t="s">
        <v>18</v>
      </c>
      <c r="W76" s="27" t="s">
        <v>19</v>
      </c>
      <c r="X76" s="28"/>
    </row>
    <row r="77" spans="1:24" s="29" customFormat="1" ht="72.75" customHeight="1" thickBot="1">
      <c r="A77" s="10">
        <f>SUBTOTAL(3,$D$3:D77)</f>
        <v>75</v>
      </c>
      <c r="B77" s="11" t="s">
        <v>207</v>
      </c>
      <c r="C77" s="11" t="s">
        <v>231</v>
      </c>
      <c r="D77" s="174" t="s">
        <v>233</v>
      </c>
      <c r="E77" s="174"/>
      <c r="F77" s="12" t="s">
        <v>10</v>
      </c>
      <c r="G77" s="49" t="s">
        <v>26</v>
      </c>
      <c r="H77" s="49" t="s">
        <v>22</v>
      </c>
      <c r="I77" s="39">
        <v>2469000</v>
      </c>
      <c r="J77" s="15">
        <v>2469000</v>
      </c>
      <c r="K77" s="16">
        <f t="shared" si="3"/>
        <v>0</v>
      </c>
      <c r="L77" s="17"/>
      <c r="M77" s="18" t="s">
        <v>213</v>
      </c>
      <c r="N77" s="19" t="s">
        <v>202</v>
      </c>
      <c r="O77" s="20">
        <v>46120</v>
      </c>
      <c r="P77" s="92">
        <v>0.3</v>
      </c>
      <c r="Q77" s="22">
        <f t="shared" si="4"/>
        <v>0</v>
      </c>
      <c r="R77" s="84"/>
      <c r="S77" s="24" t="s">
        <v>15</v>
      </c>
      <c r="T77" s="43" t="s">
        <v>59</v>
      </c>
      <c r="U77" s="26" t="s">
        <v>17</v>
      </c>
      <c r="V77" s="27" t="s">
        <v>18</v>
      </c>
      <c r="W77" s="27" t="s">
        <v>19</v>
      </c>
      <c r="X77" s="28"/>
    </row>
    <row r="78" spans="1:24" s="29" customFormat="1" ht="72.75" customHeight="1" thickBot="1">
      <c r="A78" s="10">
        <f>SUBTOTAL(3,$D$3:D78)</f>
        <v>76</v>
      </c>
      <c r="B78" s="11" t="s">
        <v>207</v>
      </c>
      <c r="C78" s="11" t="s">
        <v>231</v>
      </c>
      <c r="D78" s="174" t="s">
        <v>234</v>
      </c>
      <c r="E78" s="174"/>
      <c r="F78" s="12" t="s">
        <v>10</v>
      </c>
      <c r="G78" s="49" t="s">
        <v>109</v>
      </c>
      <c r="H78" s="49" t="s">
        <v>32</v>
      </c>
      <c r="I78" s="39">
        <v>17000000</v>
      </c>
      <c r="J78" s="15">
        <v>16996000</v>
      </c>
      <c r="K78" s="16">
        <f t="shared" si="3"/>
        <v>4000</v>
      </c>
      <c r="L78" s="17"/>
      <c r="M78" s="18" t="s">
        <v>235</v>
      </c>
      <c r="N78" s="19" t="s">
        <v>155</v>
      </c>
      <c r="O78" s="20">
        <v>46128</v>
      </c>
      <c r="P78" s="76">
        <v>0.4</v>
      </c>
      <c r="Q78" s="22">
        <f t="shared" si="4"/>
        <v>0</v>
      </c>
      <c r="R78" s="84"/>
      <c r="S78" s="24" t="s">
        <v>15</v>
      </c>
      <c r="T78" s="46" t="s">
        <v>236</v>
      </c>
      <c r="U78" s="26" t="s">
        <v>17</v>
      </c>
      <c r="V78" s="27" t="s">
        <v>18</v>
      </c>
      <c r="W78" s="27" t="s">
        <v>19</v>
      </c>
      <c r="X78" s="28"/>
    </row>
    <row r="79" spans="1:24" s="29" customFormat="1" ht="57" customHeight="1" thickBot="1">
      <c r="A79" s="10">
        <f>SUBTOTAL(3,$D$3:D79)</f>
        <v>77</v>
      </c>
      <c r="B79" s="11" t="s">
        <v>207</v>
      </c>
      <c r="C79" s="11" t="s">
        <v>231</v>
      </c>
      <c r="D79" s="174" t="s">
        <v>237</v>
      </c>
      <c r="E79" s="174"/>
      <c r="F79" s="12" t="s">
        <v>10</v>
      </c>
      <c r="G79" s="13" t="s">
        <v>11</v>
      </c>
      <c r="H79" s="13" t="s">
        <v>12</v>
      </c>
      <c r="I79" s="39">
        <v>9997000</v>
      </c>
      <c r="J79" s="15">
        <v>9997000</v>
      </c>
      <c r="K79" s="16">
        <f t="shared" si="3"/>
        <v>0</v>
      </c>
      <c r="L79" s="17">
        <f>4032285.25+3102505.26</f>
        <v>7134790.5099999998</v>
      </c>
      <c r="M79" s="18" t="s">
        <v>215</v>
      </c>
      <c r="N79" s="19" t="s">
        <v>58</v>
      </c>
      <c r="O79" s="20">
        <v>46120</v>
      </c>
      <c r="P79" s="92">
        <v>0.8</v>
      </c>
      <c r="Q79" s="22">
        <f t="shared" si="4"/>
        <v>0.71369315894768426</v>
      </c>
      <c r="R79" s="84"/>
      <c r="S79" s="24" t="s">
        <v>15</v>
      </c>
      <c r="T79" s="43" t="s">
        <v>59</v>
      </c>
      <c r="U79" s="26" t="s">
        <v>17</v>
      </c>
      <c r="V79" s="27" t="s">
        <v>18</v>
      </c>
      <c r="W79" s="27" t="s">
        <v>19</v>
      </c>
      <c r="X79" s="28"/>
    </row>
    <row r="80" spans="1:24" s="29" customFormat="1" ht="100.5" customHeight="1" thickBot="1">
      <c r="A80" s="10">
        <f>SUBTOTAL(3,$D$3:D80)</f>
        <v>78</v>
      </c>
      <c r="B80" s="11" t="s">
        <v>207</v>
      </c>
      <c r="C80" s="11" t="s">
        <v>231</v>
      </c>
      <c r="D80" s="174" t="s">
        <v>238</v>
      </c>
      <c r="E80" s="174"/>
      <c r="F80" s="12" t="s">
        <v>10</v>
      </c>
      <c r="G80" s="13" t="s">
        <v>43</v>
      </c>
      <c r="H80" s="13" t="s">
        <v>44</v>
      </c>
      <c r="I80" s="36">
        <v>18810000</v>
      </c>
      <c r="J80" s="15">
        <v>18810000</v>
      </c>
      <c r="K80" s="15">
        <f t="shared" si="3"/>
        <v>0</v>
      </c>
      <c r="L80" s="17"/>
      <c r="M80" s="18" t="s">
        <v>239</v>
      </c>
      <c r="N80" s="19" t="s">
        <v>38</v>
      </c>
      <c r="O80" s="20">
        <v>46128</v>
      </c>
      <c r="P80" s="76">
        <v>0.6</v>
      </c>
      <c r="Q80" s="22">
        <f t="shared" si="4"/>
        <v>0</v>
      </c>
      <c r="R80" s="84"/>
      <c r="S80" s="24" t="s">
        <v>15</v>
      </c>
      <c r="T80" s="43" t="s">
        <v>59</v>
      </c>
      <c r="U80" s="26" t="s">
        <v>17</v>
      </c>
      <c r="V80" s="27" t="s">
        <v>18</v>
      </c>
      <c r="W80" s="27" t="s">
        <v>19</v>
      </c>
      <c r="X80" s="28"/>
    </row>
    <row r="81" spans="1:24" s="95" customFormat="1" ht="102.75" customHeight="1" thickBot="1">
      <c r="A81" s="93">
        <f>SUBTOTAL(3,$D$3:D81)</f>
        <v>79</v>
      </c>
      <c r="B81" s="11" t="s">
        <v>240</v>
      </c>
      <c r="C81" s="11" t="s">
        <v>240</v>
      </c>
      <c r="D81" s="174" t="s">
        <v>241</v>
      </c>
      <c r="E81" s="174"/>
      <c r="F81" s="12" t="s">
        <v>10</v>
      </c>
      <c r="G81" s="13" t="s">
        <v>26</v>
      </c>
      <c r="H81" s="13" t="s">
        <v>22</v>
      </c>
      <c r="I81" s="94">
        <v>14000000</v>
      </c>
      <c r="J81" s="15">
        <v>13989000</v>
      </c>
      <c r="K81" s="16">
        <f t="shared" si="3"/>
        <v>11000</v>
      </c>
      <c r="L81" s="16"/>
      <c r="M81" s="18" t="s">
        <v>242</v>
      </c>
      <c r="N81" s="19" t="s">
        <v>243</v>
      </c>
      <c r="O81" s="73">
        <v>46187</v>
      </c>
      <c r="P81" s="76">
        <v>0.85</v>
      </c>
      <c r="Q81" s="22">
        <f t="shared" si="4"/>
        <v>0</v>
      </c>
      <c r="R81" s="84"/>
      <c r="S81" s="31" t="s">
        <v>15</v>
      </c>
      <c r="T81" s="43" t="s">
        <v>16</v>
      </c>
      <c r="U81" s="85" t="s">
        <v>17</v>
      </c>
      <c r="V81" s="85" t="s">
        <v>18</v>
      </c>
      <c r="W81" s="85" t="s">
        <v>19</v>
      </c>
      <c r="X81" s="85"/>
    </row>
    <row r="82" spans="1:24" s="95" customFormat="1" ht="81" customHeight="1" thickBot="1">
      <c r="A82" s="93">
        <f>SUBTOTAL(3,$D$3:D82)</f>
        <v>80</v>
      </c>
      <c r="B82" s="11" t="s">
        <v>240</v>
      </c>
      <c r="C82" s="11" t="s">
        <v>240</v>
      </c>
      <c r="D82" s="174" t="s">
        <v>244</v>
      </c>
      <c r="E82" s="174"/>
      <c r="F82" s="12" t="s">
        <v>10</v>
      </c>
      <c r="G82" s="13" t="s">
        <v>21</v>
      </c>
      <c r="H82" s="13" t="s">
        <v>22</v>
      </c>
      <c r="I82" s="94">
        <v>9000000</v>
      </c>
      <c r="J82" s="15">
        <v>8978000</v>
      </c>
      <c r="K82" s="16">
        <f t="shared" si="3"/>
        <v>22000</v>
      </c>
      <c r="L82" s="16"/>
      <c r="M82" s="18" t="s">
        <v>242</v>
      </c>
      <c r="N82" s="19" t="s">
        <v>243</v>
      </c>
      <c r="O82" s="73">
        <v>46187</v>
      </c>
      <c r="P82" s="76">
        <v>0.89</v>
      </c>
      <c r="Q82" s="22">
        <f t="shared" si="4"/>
        <v>0</v>
      </c>
      <c r="R82" s="84"/>
      <c r="S82" s="31" t="s">
        <v>15</v>
      </c>
      <c r="T82" s="43" t="s">
        <v>16</v>
      </c>
      <c r="U82" s="85" t="s">
        <v>17</v>
      </c>
      <c r="V82" s="85" t="s">
        <v>18</v>
      </c>
      <c r="W82" s="85" t="s">
        <v>19</v>
      </c>
      <c r="X82" s="85"/>
    </row>
    <row r="83" spans="1:24" s="29" customFormat="1" ht="99.75" customHeight="1" thickBot="1">
      <c r="A83" s="10">
        <f>SUBTOTAL(3,$D$3:D83)</f>
        <v>81</v>
      </c>
      <c r="B83" s="11" t="s">
        <v>240</v>
      </c>
      <c r="C83" s="11" t="s">
        <v>240</v>
      </c>
      <c r="D83" s="177" t="s">
        <v>245</v>
      </c>
      <c r="E83" s="177"/>
      <c r="F83" s="12" t="s">
        <v>10</v>
      </c>
      <c r="G83" s="49" t="s">
        <v>109</v>
      </c>
      <c r="H83" s="49" t="s">
        <v>32</v>
      </c>
      <c r="I83" s="45">
        <v>12000000</v>
      </c>
      <c r="J83" s="15">
        <v>11997000</v>
      </c>
      <c r="K83" s="16">
        <f t="shared" si="3"/>
        <v>3000</v>
      </c>
      <c r="L83" s="17"/>
      <c r="M83" s="96" t="s">
        <v>242</v>
      </c>
      <c r="N83" s="55" t="s">
        <v>246</v>
      </c>
      <c r="O83" s="20"/>
      <c r="P83" s="76"/>
      <c r="Q83" s="22">
        <f t="shared" si="4"/>
        <v>0</v>
      </c>
      <c r="R83" s="84"/>
      <c r="S83" s="31" t="s">
        <v>28</v>
      </c>
      <c r="T83" s="46" t="s">
        <v>247</v>
      </c>
      <c r="U83" s="26" t="s">
        <v>17</v>
      </c>
      <c r="V83" s="85" t="s">
        <v>18</v>
      </c>
      <c r="W83" s="85" t="s">
        <v>19</v>
      </c>
      <c r="X83" s="97" t="s">
        <v>64</v>
      </c>
    </row>
    <row r="84" spans="1:24" s="29" customFormat="1" ht="81" customHeight="1" thickBot="1">
      <c r="A84" s="10">
        <f>SUBTOTAL(3,$D$3:D84)</f>
        <v>82</v>
      </c>
      <c r="B84" s="11" t="s">
        <v>240</v>
      </c>
      <c r="C84" s="11" t="s">
        <v>240</v>
      </c>
      <c r="D84" s="174" t="s">
        <v>248</v>
      </c>
      <c r="E84" s="174"/>
      <c r="F84" s="12" t="s">
        <v>10</v>
      </c>
      <c r="G84" s="49" t="s">
        <v>50</v>
      </c>
      <c r="H84" s="49" t="s">
        <v>12</v>
      </c>
      <c r="I84" s="39">
        <v>8000000</v>
      </c>
      <c r="J84" s="15">
        <v>8000000</v>
      </c>
      <c r="K84" s="16">
        <f t="shared" si="3"/>
        <v>0</v>
      </c>
      <c r="L84" s="15">
        <v>7993775</v>
      </c>
      <c r="M84" s="18" t="s">
        <v>249</v>
      </c>
      <c r="N84" s="19" t="s">
        <v>86</v>
      </c>
      <c r="O84" s="20">
        <v>46131</v>
      </c>
      <c r="P84" s="76">
        <v>1</v>
      </c>
      <c r="Q84" s="22">
        <f t="shared" si="4"/>
        <v>0.99922187500000004</v>
      </c>
      <c r="R84" s="84"/>
      <c r="S84" s="24" t="s">
        <v>80</v>
      </c>
      <c r="T84" s="32" t="s">
        <v>250</v>
      </c>
      <c r="U84" s="85" t="s">
        <v>17</v>
      </c>
      <c r="V84" s="85" t="s">
        <v>18</v>
      </c>
      <c r="W84" s="85" t="s">
        <v>19</v>
      </c>
      <c r="X84" s="85"/>
    </row>
    <row r="85" spans="1:24" s="29" customFormat="1" ht="90.75" customHeight="1" thickBot="1">
      <c r="A85" s="10">
        <f>SUBTOTAL(3,$D$3:D85)</f>
        <v>83</v>
      </c>
      <c r="B85" s="11" t="s">
        <v>240</v>
      </c>
      <c r="C85" s="11" t="s">
        <v>240</v>
      </c>
      <c r="D85" s="177" t="s">
        <v>251</v>
      </c>
      <c r="E85" s="177"/>
      <c r="F85" s="12" t="s">
        <v>10</v>
      </c>
      <c r="G85" s="49" t="s">
        <v>109</v>
      </c>
      <c r="H85" s="49" t="s">
        <v>32</v>
      </c>
      <c r="I85" s="45">
        <v>12200000</v>
      </c>
      <c r="J85" s="15">
        <v>12198000</v>
      </c>
      <c r="K85" s="16">
        <f t="shared" si="3"/>
        <v>2000</v>
      </c>
      <c r="L85" s="17"/>
      <c r="M85" s="96" t="s">
        <v>242</v>
      </c>
      <c r="N85" s="55" t="s">
        <v>246</v>
      </c>
      <c r="O85" s="20"/>
      <c r="P85" s="76"/>
      <c r="Q85" s="22">
        <f t="shared" si="4"/>
        <v>0</v>
      </c>
      <c r="R85" s="84"/>
      <c r="S85" s="31" t="s">
        <v>28</v>
      </c>
      <c r="T85" s="46" t="s">
        <v>247</v>
      </c>
      <c r="U85" s="26" t="s">
        <v>17</v>
      </c>
      <c r="V85" s="85" t="s">
        <v>18</v>
      </c>
      <c r="W85" s="85" t="s">
        <v>19</v>
      </c>
      <c r="X85" s="97" t="s">
        <v>64</v>
      </c>
    </row>
    <row r="86" spans="1:24" s="29" customFormat="1" ht="131.25" customHeight="1" thickBot="1">
      <c r="A86" s="10">
        <f>SUBTOTAL(3,$D$3:D86)</f>
        <v>84</v>
      </c>
      <c r="B86" s="11" t="s">
        <v>240</v>
      </c>
      <c r="C86" s="11" t="s">
        <v>240</v>
      </c>
      <c r="D86" s="174" t="s">
        <v>252</v>
      </c>
      <c r="E86" s="174"/>
      <c r="F86" s="12" t="s">
        <v>10</v>
      </c>
      <c r="G86" s="49" t="s">
        <v>43</v>
      </c>
      <c r="H86" s="49" t="s">
        <v>44</v>
      </c>
      <c r="I86" s="36">
        <v>52720100</v>
      </c>
      <c r="J86" s="15">
        <v>52719000</v>
      </c>
      <c r="K86" s="15">
        <f t="shared" si="3"/>
        <v>1100</v>
      </c>
      <c r="L86" s="17"/>
      <c r="M86" s="96" t="s">
        <v>242</v>
      </c>
      <c r="N86" s="19" t="s">
        <v>253</v>
      </c>
      <c r="O86" s="20"/>
      <c r="P86" s="76"/>
      <c r="Q86" s="22">
        <f t="shared" si="4"/>
        <v>0</v>
      </c>
      <c r="R86" s="84"/>
      <c r="S86" s="24" t="s">
        <v>28</v>
      </c>
      <c r="T86" s="46" t="s">
        <v>247</v>
      </c>
      <c r="U86" s="26" t="s">
        <v>17</v>
      </c>
      <c r="V86" s="85" t="s">
        <v>48</v>
      </c>
      <c r="W86" s="85" t="s">
        <v>19</v>
      </c>
      <c r="X86" s="97" t="s">
        <v>64</v>
      </c>
    </row>
    <row r="87" spans="1:24" s="29" customFormat="1" ht="107.25" customHeight="1" thickBot="1">
      <c r="A87" s="10">
        <f>SUBTOTAL(3,$D$3:D87)</f>
        <v>85</v>
      </c>
      <c r="B87" s="11" t="s">
        <v>240</v>
      </c>
      <c r="C87" s="11" t="s">
        <v>254</v>
      </c>
      <c r="D87" s="178" t="s">
        <v>255</v>
      </c>
      <c r="E87" s="178"/>
      <c r="F87" s="12" t="s">
        <v>10</v>
      </c>
      <c r="G87" s="98" t="s">
        <v>109</v>
      </c>
      <c r="H87" s="98" t="s">
        <v>32</v>
      </c>
      <c r="I87" s="99">
        <v>39800000</v>
      </c>
      <c r="J87" s="15">
        <v>39788000</v>
      </c>
      <c r="K87" s="100">
        <f t="shared" si="3"/>
        <v>12000</v>
      </c>
      <c r="L87" s="100"/>
      <c r="M87" s="96" t="s">
        <v>242</v>
      </c>
      <c r="N87" s="101" t="s">
        <v>111</v>
      </c>
      <c r="O87" s="73">
        <v>46184</v>
      </c>
      <c r="P87" s="72">
        <v>0.06</v>
      </c>
      <c r="Q87" s="22">
        <f t="shared" si="4"/>
        <v>0</v>
      </c>
      <c r="R87" s="102"/>
      <c r="S87" s="31" t="s">
        <v>15</v>
      </c>
      <c r="T87" s="43" t="s">
        <v>16</v>
      </c>
      <c r="U87" s="85" t="s">
        <v>17</v>
      </c>
      <c r="V87" s="85" t="s">
        <v>18</v>
      </c>
      <c r="W87" s="85" t="s">
        <v>19</v>
      </c>
      <c r="X87" s="85"/>
    </row>
    <row r="88" spans="1:24" s="29" customFormat="1" ht="115.5" customHeight="1" thickBot="1">
      <c r="A88" s="10">
        <f>SUBTOTAL(3,$D$3:D88)</f>
        <v>86</v>
      </c>
      <c r="B88" s="11" t="s">
        <v>240</v>
      </c>
      <c r="C88" s="11" t="s">
        <v>254</v>
      </c>
      <c r="D88" s="178" t="s">
        <v>256</v>
      </c>
      <c r="E88" s="178"/>
      <c r="F88" s="103" t="s">
        <v>10</v>
      </c>
      <c r="G88" s="98" t="s">
        <v>31</v>
      </c>
      <c r="H88" s="98" t="s">
        <v>32</v>
      </c>
      <c r="I88" s="104">
        <v>13000000</v>
      </c>
      <c r="J88" s="15">
        <v>12979000</v>
      </c>
      <c r="K88" s="100">
        <f t="shared" si="3"/>
        <v>21000</v>
      </c>
      <c r="L88" s="105"/>
      <c r="M88" s="96" t="s">
        <v>242</v>
      </c>
      <c r="N88" s="101" t="s">
        <v>257</v>
      </c>
      <c r="O88" s="73">
        <v>46184</v>
      </c>
      <c r="P88" s="72">
        <v>0.3</v>
      </c>
      <c r="Q88" s="22">
        <f t="shared" si="4"/>
        <v>0</v>
      </c>
      <c r="R88" s="106"/>
      <c r="S88" s="31" t="s">
        <v>15</v>
      </c>
      <c r="T88" s="43" t="s">
        <v>16</v>
      </c>
      <c r="U88" s="85" t="s">
        <v>17</v>
      </c>
      <c r="V88" s="85" t="s">
        <v>18</v>
      </c>
      <c r="W88" s="85" t="s">
        <v>19</v>
      </c>
      <c r="X88" s="85"/>
    </row>
    <row r="89" spans="1:24" s="29" customFormat="1" ht="127.5" customHeight="1" thickBot="1">
      <c r="A89" s="10">
        <f>SUBTOTAL(3,$D$3:D89)</f>
        <v>87</v>
      </c>
      <c r="B89" s="11" t="s">
        <v>240</v>
      </c>
      <c r="C89" s="11" t="s">
        <v>254</v>
      </c>
      <c r="D89" s="174" t="s">
        <v>258</v>
      </c>
      <c r="E89" s="174"/>
      <c r="F89" s="12" t="s">
        <v>10</v>
      </c>
      <c r="G89" s="13" t="s">
        <v>21</v>
      </c>
      <c r="H89" s="13" t="s">
        <v>22</v>
      </c>
      <c r="I89" s="39">
        <v>8000000</v>
      </c>
      <c r="J89" s="15">
        <v>7993000</v>
      </c>
      <c r="K89" s="16">
        <f t="shared" si="3"/>
        <v>7000</v>
      </c>
      <c r="L89" s="17"/>
      <c r="M89" s="18" t="s">
        <v>259</v>
      </c>
      <c r="N89" s="19" t="s">
        <v>83</v>
      </c>
      <c r="O89" s="80">
        <v>46155</v>
      </c>
      <c r="P89" s="76">
        <v>1</v>
      </c>
      <c r="Q89" s="22">
        <f t="shared" si="4"/>
        <v>0</v>
      </c>
      <c r="R89" s="89"/>
      <c r="S89" s="24" t="s">
        <v>80</v>
      </c>
      <c r="T89" s="32" t="s">
        <v>158</v>
      </c>
      <c r="U89" s="85" t="s">
        <v>17</v>
      </c>
      <c r="V89" s="85" t="s">
        <v>18</v>
      </c>
      <c r="W89" s="85" t="s">
        <v>19</v>
      </c>
      <c r="X89" s="85"/>
    </row>
    <row r="90" spans="1:24" s="29" customFormat="1" ht="72.75" customHeight="1" thickBot="1">
      <c r="A90" s="10">
        <f>SUBTOTAL(3,$D$3:D90)</f>
        <v>88</v>
      </c>
      <c r="B90" s="11" t="s">
        <v>240</v>
      </c>
      <c r="C90" s="11" t="s">
        <v>254</v>
      </c>
      <c r="D90" s="174" t="s">
        <v>260</v>
      </c>
      <c r="E90" s="174"/>
      <c r="F90" s="12" t="s">
        <v>10</v>
      </c>
      <c r="G90" s="13" t="s">
        <v>50</v>
      </c>
      <c r="H90" s="13" t="s">
        <v>12</v>
      </c>
      <c r="I90" s="39">
        <v>9000000</v>
      </c>
      <c r="J90" s="15">
        <v>8965000</v>
      </c>
      <c r="K90" s="16">
        <f t="shared" si="3"/>
        <v>35000</v>
      </c>
      <c r="L90" s="15">
        <v>8964270</v>
      </c>
      <c r="M90" s="18" t="s">
        <v>259</v>
      </c>
      <c r="N90" s="19" t="s">
        <v>257</v>
      </c>
      <c r="O90" s="20">
        <v>46135</v>
      </c>
      <c r="P90" s="76">
        <v>1</v>
      </c>
      <c r="Q90" s="22">
        <f t="shared" si="4"/>
        <v>0.99991857222532066</v>
      </c>
      <c r="R90" s="89"/>
      <c r="S90" s="24" t="s">
        <v>80</v>
      </c>
      <c r="T90" s="32" t="s">
        <v>158</v>
      </c>
      <c r="U90" s="85" t="s">
        <v>17</v>
      </c>
      <c r="V90" s="85" t="s">
        <v>18</v>
      </c>
      <c r="W90" s="85" t="s">
        <v>19</v>
      </c>
      <c r="X90" s="85"/>
    </row>
    <row r="91" spans="1:24" s="29" customFormat="1" ht="94.5" customHeight="1" thickBot="1">
      <c r="A91" s="10">
        <f>SUBTOTAL(3,$D$3:D91)</f>
        <v>89</v>
      </c>
      <c r="B91" s="11" t="s">
        <v>240</v>
      </c>
      <c r="C91" s="107" t="s">
        <v>254</v>
      </c>
      <c r="D91" s="178" t="s">
        <v>261</v>
      </c>
      <c r="E91" s="178"/>
      <c r="F91" s="103" t="s">
        <v>10</v>
      </c>
      <c r="G91" s="108" t="s">
        <v>43</v>
      </c>
      <c r="H91" s="108" t="s">
        <v>44</v>
      </c>
      <c r="I91" s="109">
        <v>25952000</v>
      </c>
      <c r="J91" s="15">
        <v>25945000</v>
      </c>
      <c r="K91" s="110">
        <f t="shared" si="3"/>
        <v>7000</v>
      </c>
      <c r="L91" s="105"/>
      <c r="M91" s="96" t="s">
        <v>242</v>
      </c>
      <c r="N91" s="101" t="s">
        <v>88</v>
      </c>
      <c r="O91" s="73">
        <v>46197</v>
      </c>
      <c r="P91" s="72">
        <v>0.25</v>
      </c>
      <c r="Q91" s="22">
        <f t="shared" si="4"/>
        <v>0</v>
      </c>
      <c r="R91" s="106"/>
      <c r="S91" s="31" t="s">
        <v>15</v>
      </c>
      <c r="T91" s="43" t="s">
        <v>16</v>
      </c>
      <c r="U91" s="85" t="s">
        <v>17</v>
      </c>
      <c r="V91" s="85" t="s">
        <v>18</v>
      </c>
      <c r="W91" s="85" t="s">
        <v>19</v>
      </c>
      <c r="X91" s="85"/>
    </row>
    <row r="92" spans="1:24" s="29" customFormat="1" ht="93" customHeight="1" thickBot="1">
      <c r="A92" s="10">
        <f>SUBTOTAL(3,$D$3:D92)</f>
        <v>90</v>
      </c>
      <c r="B92" s="11" t="s">
        <v>262</v>
      </c>
      <c r="C92" s="11" t="s">
        <v>262</v>
      </c>
      <c r="D92" s="174" t="s">
        <v>263</v>
      </c>
      <c r="E92" s="174"/>
      <c r="F92" s="12" t="s">
        <v>10</v>
      </c>
      <c r="G92" s="13" t="s">
        <v>21</v>
      </c>
      <c r="H92" s="13" t="s">
        <v>22</v>
      </c>
      <c r="I92" s="39">
        <v>50000000</v>
      </c>
      <c r="J92" s="15">
        <v>39263000</v>
      </c>
      <c r="K92" s="16">
        <f t="shared" si="3"/>
        <v>10737000</v>
      </c>
      <c r="L92" s="17"/>
      <c r="M92" s="18" t="s">
        <v>128</v>
      </c>
      <c r="N92" s="19" t="s">
        <v>38</v>
      </c>
      <c r="O92" s="20">
        <v>46175</v>
      </c>
      <c r="P92" s="76">
        <v>0.7</v>
      </c>
      <c r="Q92" s="22">
        <f t="shared" si="4"/>
        <v>0</v>
      </c>
      <c r="R92" s="84"/>
      <c r="S92" s="24" t="s">
        <v>15</v>
      </c>
      <c r="T92" s="111" t="s">
        <v>59</v>
      </c>
      <c r="U92" s="26" t="s">
        <v>17</v>
      </c>
      <c r="V92" s="27" t="s">
        <v>18</v>
      </c>
      <c r="W92" s="27" t="s">
        <v>19</v>
      </c>
      <c r="X92" s="28"/>
    </row>
    <row r="93" spans="1:24" s="29" customFormat="1" ht="131.25" customHeight="1" thickBot="1">
      <c r="A93" s="10">
        <f>SUBTOTAL(3,$D$3:D93)</f>
        <v>91</v>
      </c>
      <c r="B93" s="11" t="s">
        <v>262</v>
      </c>
      <c r="C93" s="11" t="s">
        <v>264</v>
      </c>
      <c r="D93" s="174" t="s">
        <v>265</v>
      </c>
      <c r="E93" s="174"/>
      <c r="F93" s="12" t="s">
        <v>10</v>
      </c>
      <c r="G93" s="49" t="s">
        <v>43</v>
      </c>
      <c r="H93" s="49" t="s">
        <v>44</v>
      </c>
      <c r="I93" s="36">
        <v>60000000</v>
      </c>
      <c r="J93" s="15">
        <v>59846000</v>
      </c>
      <c r="K93" s="15">
        <f t="shared" si="3"/>
        <v>154000</v>
      </c>
      <c r="L93" s="17"/>
      <c r="M93" s="18" t="s">
        <v>266</v>
      </c>
      <c r="N93" s="19" t="s">
        <v>111</v>
      </c>
      <c r="O93" s="80">
        <v>46159</v>
      </c>
      <c r="P93" s="21">
        <v>0.05</v>
      </c>
      <c r="Q93" s="22">
        <f t="shared" si="4"/>
        <v>0</v>
      </c>
      <c r="R93" s="84"/>
      <c r="S93" s="24" t="s">
        <v>15</v>
      </c>
      <c r="T93" s="43" t="s">
        <v>16</v>
      </c>
      <c r="U93" s="26" t="s">
        <v>17</v>
      </c>
      <c r="V93" s="27" t="s">
        <v>48</v>
      </c>
      <c r="W93" s="27" t="s">
        <v>19</v>
      </c>
      <c r="X93" s="28"/>
    </row>
    <row r="94" spans="1:24" s="29" customFormat="1" ht="102.75" customHeight="1" thickBot="1">
      <c r="A94" s="10">
        <f>SUBTOTAL(3,$D$3:D94)</f>
        <v>92</v>
      </c>
      <c r="B94" s="11" t="s">
        <v>262</v>
      </c>
      <c r="C94" s="11" t="s">
        <v>267</v>
      </c>
      <c r="D94" s="175" t="s">
        <v>268</v>
      </c>
      <c r="E94" s="176"/>
      <c r="F94" s="112" t="s">
        <v>10</v>
      </c>
      <c r="G94" s="113" t="s">
        <v>11</v>
      </c>
      <c r="H94" s="113" t="s">
        <v>12</v>
      </c>
      <c r="I94" s="114">
        <v>18000000</v>
      </c>
      <c r="J94" s="15">
        <v>15151000</v>
      </c>
      <c r="K94" s="115">
        <f>I94-J94</f>
        <v>2849000</v>
      </c>
      <c r="L94" s="66"/>
      <c r="M94" s="18" t="s">
        <v>269</v>
      </c>
      <c r="N94" s="19" t="s">
        <v>270</v>
      </c>
      <c r="O94" s="73"/>
      <c r="P94" s="76"/>
      <c r="Q94" s="22">
        <f t="shared" si="4"/>
        <v>0</v>
      </c>
      <c r="R94" s="84"/>
      <c r="S94" s="24" t="s">
        <v>28</v>
      </c>
      <c r="T94" s="116" t="s">
        <v>271</v>
      </c>
      <c r="U94" s="117" t="s">
        <v>17</v>
      </c>
      <c r="V94" s="117" t="s">
        <v>18</v>
      </c>
      <c r="W94" s="117" t="s">
        <v>19</v>
      </c>
      <c r="X94" s="28" t="s">
        <v>135</v>
      </c>
    </row>
    <row r="95" spans="1:24" s="29" customFormat="1" ht="109.5" customHeight="1" thickBot="1">
      <c r="A95" s="10">
        <f>SUBTOTAL(3,$D$3:D95)</f>
        <v>93</v>
      </c>
      <c r="B95" s="11" t="s">
        <v>262</v>
      </c>
      <c r="C95" s="11" t="s">
        <v>267</v>
      </c>
      <c r="D95" s="175" t="s">
        <v>272</v>
      </c>
      <c r="E95" s="176"/>
      <c r="F95" s="112" t="s">
        <v>10</v>
      </c>
      <c r="G95" s="113" t="s">
        <v>11</v>
      </c>
      <c r="H95" s="113" t="s">
        <v>12</v>
      </c>
      <c r="I95" s="114">
        <v>13000000</v>
      </c>
      <c r="J95" s="15">
        <v>12657000</v>
      </c>
      <c r="K95" s="115">
        <f t="shared" ref="K95:K96" si="5">I95-J95</f>
        <v>343000</v>
      </c>
      <c r="L95" s="66"/>
      <c r="M95" s="18" t="s">
        <v>273</v>
      </c>
      <c r="N95" s="19" t="s">
        <v>246</v>
      </c>
      <c r="O95" s="73"/>
      <c r="P95" s="76"/>
      <c r="Q95" s="22">
        <f t="shared" si="4"/>
        <v>0</v>
      </c>
      <c r="R95" s="84"/>
      <c r="S95" s="24" t="s">
        <v>28</v>
      </c>
      <c r="T95" s="116" t="s">
        <v>271</v>
      </c>
      <c r="U95" s="117" t="s">
        <v>17</v>
      </c>
      <c r="V95" s="117" t="s">
        <v>18</v>
      </c>
      <c r="W95" s="117" t="s">
        <v>19</v>
      </c>
      <c r="X95" s="28" t="s">
        <v>135</v>
      </c>
    </row>
    <row r="96" spans="1:24" s="29" customFormat="1" ht="105.75" customHeight="1" thickBot="1">
      <c r="A96" s="10">
        <f>SUBTOTAL(3,$D$3:D96)</f>
        <v>94</v>
      </c>
      <c r="B96" s="11" t="s">
        <v>262</v>
      </c>
      <c r="C96" s="11" t="s">
        <v>267</v>
      </c>
      <c r="D96" s="175" t="s">
        <v>274</v>
      </c>
      <c r="E96" s="176"/>
      <c r="F96" s="112" t="s">
        <v>10</v>
      </c>
      <c r="G96" s="113" t="s">
        <v>11</v>
      </c>
      <c r="H96" s="113" t="s">
        <v>12</v>
      </c>
      <c r="I96" s="114">
        <v>20000000</v>
      </c>
      <c r="J96" s="15">
        <v>18064000</v>
      </c>
      <c r="K96" s="115">
        <f t="shared" si="5"/>
        <v>1936000</v>
      </c>
      <c r="L96" s="66"/>
      <c r="M96" s="18" t="s">
        <v>273</v>
      </c>
      <c r="N96" s="19" t="s">
        <v>246</v>
      </c>
      <c r="O96" s="73"/>
      <c r="P96" s="76"/>
      <c r="Q96" s="22">
        <f t="shared" si="4"/>
        <v>0</v>
      </c>
      <c r="R96" s="84"/>
      <c r="S96" s="24" t="s">
        <v>28</v>
      </c>
      <c r="T96" s="116" t="s">
        <v>275</v>
      </c>
      <c r="U96" s="117" t="s">
        <v>17</v>
      </c>
      <c r="V96" s="117" t="s">
        <v>18</v>
      </c>
      <c r="W96" s="117" t="s">
        <v>19</v>
      </c>
      <c r="X96" s="28" t="s">
        <v>135</v>
      </c>
    </row>
    <row r="97" spans="1:49" s="29" customFormat="1" ht="93.75" customHeight="1" thickBot="1">
      <c r="A97" s="10">
        <f>SUBTOTAL(3,$D$3:D97)</f>
        <v>95</v>
      </c>
      <c r="B97" s="11" t="s">
        <v>262</v>
      </c>
      <c r="C97" s="11" t="s">
        <v>267</v>
      </c>
      <c r="D97" s="174" t="s">
        <v>276</v>
      </c>
      <c r="E97" s="174"/>
      <c r="F97" s="12" t="s">
        <v>10</v>
      </c>
      <c r="G97" s="13" t="s">
        <v>26</v>
      </c>
      <c r="H97" s="13" t="s">
        <v>22</v>
      </c>
      <c r="I97" s="39">
        <v>6495000</v>
      </c>
      <c r="J97" s="15">
        <v>6495000</v>
      </c>
      <c r="K97" s="16">
        <f t="shared" si="3"/>
        <v>0</v>
      </c>
      <c r="L97" s="69">
        <v>6494841.5</v>
      </c>
      <c r="M97" s="18" t="s">
        <v>161</v>
      </c>
      <c r="N97" s="19" t="s">
        <v>124</v>
      </c>
      <c r="O97" s="80">
        <v>46113</v>
      </c>
      <c r="P97" s="76">
        <v>1</v>
      </c>
      <c r="Q97" s="22">
        <f t="shared" si="4"/>
        <v>0.99997559661277902</v>
      </c>
      <c r="R97" s="84"/>
      <c r="S97" s="51" t="s">
        <v>106</v>
      </c>
      <c r="T97" s="60" t="s">
        <v>277</v>
      </c>
      <c r="U97" s="26" t="s">
        <v>17</v>
      </c>
      <c r="V97" s="27" t="s">
        <v>18</v>
      </c>
      <c r="W97" s="27" t="s">
        <v>19</v>
      </c>
      <c r="X97" s="28"/>
    </row>
    <row r="98" spans="1:49" s="29" customFormat="1" ht="72.75" customHeight="1" thickBot="1">
      <c r="A98" s="10">
        <f>SUBTOTAL(3,$D$3:D98)</f>
        <v>96</v>
      </c>
      <c r="B98" s="11" t="s">
        <v>262</v>
      </c>
      <c r="C98" s="11" t="s">
        <v>267</v>
      </c>
      <c r="D98" s="174" t="s">
        <v>278</v>
      </c>
      <c r="E98" s="174"/>
      <c r="F98" s="12" t="s">
        <v>10</v>
      </c>
      <c r="G98" s="49" t="s">
        <v>21</v>
      </c>
      <c r="H98" s="49" t="s">
        <v>22</v>
      </c>
      <c r="I98" s="39">
        <v>4993000</v>
      </c>
      <c r="J98" s="15">
        <v>4993000</v>
      </c>
      <c r="K98" s="16">
        <f t="shared" si="3"/>
        <v>0</v>
      </c>
      <c r="L98" s="66"/>
      <c r="M98" s="18" t="s">
        <v>161</v>
      </c>
      <c r="N98" s="19" t="s">
        <v>124</v>
      </c>
      <c r="O98" s="80">
        <v>46113</v>
      </c>
      <c r="P98" s="76">
        <v>1</v>
      </c>
      <c r="Q98" s="22">
        <f t="shared" si="4"/>
        <v>0</v>
      </c>
      <c r="R98" s="84"/>
      <c r="S98" s="24" t="s">
        <v>80</v>
      </c>
      <c r="T98" s="43" t="s">
        <v>98</v>
      </c>
      <c r="U98" s="26" t="s">
        <v>17</v>
      </c>
      <c r="V98" s="27" t="s">
        <v>18</v>
      </c>
      <c r="W98" s="27" t="s">
        <v>19</v>
      </c>
      <c r="X98" s="28"/>
    </row>
    <row r="99" spans="1:49" s="29" customFormat="1" ht="72.75" customHeight="1" thickBot="1">
      <c r="A99" s="10">
        <f>SUBTOTAL(3,$D$3:D99)</f>
        <v>97</v>
      </c>
      <c r="B99" s="11" t="s">
        <v>262</v>
      </c>
      <c r="C99" s="11" t="s">
        <v>267</v>
      </c>
      <c r="D99" s="174" t="s">
        <v>279</v>
      </c>
      <c r="E99" s="174"/>
      <c r="F99" s="12" t="s">
        <v>10</v>
      </c>
      <c r="G99" s="13" t="s">
        <v>31</v>
      </c>
      <c r="H99" s="13" t="s">
        <v>32</v>
      </c>
      <c r="I99" s="39">
        <v>10000000</v>
      </c>
      <c r="J99" s="15">
        <v>10000000</v>
      </c>
      <c r="K99" s="16">
        <f t="shared" si="3"/>
        <v>0</v>
      </c>
      <c r="L99" s="66"/>
      <c r="M99" s="18" t="s">
        <v>280</v>
      </c>
      <c r="N99" s="19" t="s">
        <v>124</v>
      </c>
      <c r="O99" s="80">
        <v>46113</v>
      </c>
      <c r="P99" s="76">
        <v>0.95</v>
      </c>
      <c r="Q99" s="22">
        <f t="shared" si="4"/>
        <v>0</v>
      </c>
      <c r="R99" s="84"/>
      <c r="S99" s="24" t="s">
        <v>15</v>
      </c>
      <c r="T99" s="43" t="s">
        <v>59</v>
      </c>
      <c r="U99" s="26" t="s">
        <v>17</v>
      </c>
      <c r="V99" s="27" t="s">
        <v>18</v>
      </c>
      <c r="W99" s="27" t="s">
        <v>19</v>
      </c>
      <c r="X99" s="28"/>
    </row>
    <row r="100" spans="1:49" s="29" customFormat="1" ht="72.75" customHeight="1" thickBot="1">
      <c r="A100" s="10">
        <f>SUBTOTAL(3,$D$3:D100)</f>
        <v>98</v>
      </c>
      <c r="B100" s="11" t="s">
        <v>262</v>
      </c>
      <c r="C100" s="11" t="s">
        <v>281</v>
      </c>
      <c r="D100" s="174" t="s">
        <v>282</v>
      </c>
      <c r="E100" s="174"/>
      <c r="F100" s="12" t="s">
        <v>10</v>
      </c>
      <c r="G100" s="179" t="s">
        <v>21</v>
      </c>
      <c r="H100" s="49" t="s">
        <v>22</v>
      </c>
      <c r="I100" s="181">
        <v>10981000</v>
      </c>
      <c r="J100" s="15">
        <v>10981000</v>
      </c>
      <c r="K100" s="115">
        <f t="shared" si="3"/>
        <v>0</v>
      </c>
      <c r="L100" s="17"/>
      <c r="M100" s="18" t="s">
        <v>23</v>
      </c>
      <c r="N100" s="19" t="s">
        <v>243</v>
      </c>
      <c r="O100" s="80">
        <v>46117</v>
      </c>
      <c r="P100" s="76">
        <v>0.85</v>
      </c>
      <c r="Q100" s="22">
        <f t="shared" si="4"/>
        <v>0</v>
      </c>
      <c r="R100" s="84"/>
      <c r="S100" s="24" t="s">
        <v>15</v>
      </c>
      <c r="T100" s="43" t="s">
        <v>59</v>
      </c>
      <c r="U100" s="26" t="s">
        <v>17</v>
      </c>
      <c r="V100" s="27" t="s">
        <v>18</v>
      </c>
      <c r="W100" s="27" t="s">
        <v>19</v>
      </c>
      <c r="X100" s="28"/>
    </row>
    <row r="101" spans="1:49" s="29" customFormat="1" ht="72.75" customHeight="1" thickBot="1">
      <c r="A101" s="10">
        <f>SUBTOTAL(3,$D$3:D101)</f>
        <v>99</v>
      </c>
      <c r="B101" s="11" t="s">
        <v>262</v>
      </c>
      <c r="C101" s="11" t="s">
        <v>281</v>
      </c>
      <c r="D101" s="174" t="s">
        <v>283</v>
      </c>
      <c r="E101" s="174"/>
      <c r="F101" s="12" t="s">
        <v>10</v>
      </c>
      <c r="G101" s="180" t="s">
        <v>71</v>
      </c>
      <c r="H101" s="13" t="s">
        <v>32</v>
      </c>
      <c r="I101" s="181">
        <v>2481000</v>
      </c>
      <c r="J101" s="15">
        <v>2481000</v>
      </c>
      <c r="K101" s="118">
        <f t="shared" si="3"/>
        <v>0</v>
      </c>
      <c r="L101" s="17"/>
      <c r="M101" s="18" t="s">
        <v>284</v>
      </c>
      <c r="N101" s="19" t="s">
        <v>285</v>
      </c>
      <c r="O101" s="80">
        <v>46117</v>
      </c>
      <c r="P101" s="76">
        <v>0.9</v>
      </c>
      <c r="Q101" s="22">
        <f t="shared" si="4"/>
        <v>0</v>
      </c>
      <c r="R101" s="84"/>
      <c r="S101" s="24" t="s">
        <v>15</v>
      </c>
      <c r="T101" s="43" t="s">
        <v>59</v>
      </c>
      <c r="U101" s="26" t="s">
        <v>17</v>
      </c>
      <c r="V101" s="27" t="s">
        <v>18</v>
      </c>
      <c r="W101" s="27" t="s">
        <v>19</v>
      </c>
      <c r="X101" s="28"/>
    </row>
    <row r="102" spans="1:49" s="29" customFormat="1" ht="72.75" customHeight="1" thickBot="1">
      <c r="A102" s="10">
        <f>SUBTOTAL(3,$D$3:D102)</f>
        <v>100</v>
      </c>
      <c r="B102" s="11" t="s">
        <v>262</v>
      </c>
      <c r="C102" s="11" t="s">
        <v>286</v>
      </c>
      <c r="D102" s="174" t="s">
        <v>287</v>
      </c>
      <c r="E102" s="174"/>
      <c r="F102" s="12" t="s">
        <v>10</v>
      </c>
      <c r="G102" s="13" t="s">
        <v>11</v>
      </c>
      <c r="H102" s="13" t="s">
        <v>12</v>
      </c>
      <c r="I102" s="39">
        <v>24889000</v>
      </c>
      <c r="J102" s="15">
        <v>24889000</v>
      </c>
      <c r="K102" s="16">
        <f t="shared" si="3"/>
        <v>0</v>
      </c>
      <c r="L102" s="17"/>
      <c r="M102" s="18" t="s">
        <v>266</v>
      </c>
      <c r="N102" s="19" t="s">
        <v>288</v>
      </c>
      <c r="O102" s="80">
        <v>46140</v>
      </c>
      <c r="P102" s="76">
        <v>0.95</v>
      </c>
      <c r="Q102" s="22">
        <f t="shared" si="4"/>
        <v>0</v>
      </c>
      <c r="R102" s="84"/>
      <c r="S102" s="24" t="s">
        <v>15</v>
      </c>
      <c r="T102" s="43" t="s">
        <v>59</v>
      </c>
      <c r="U102" s="26" t="s">
        <v>17</v>
      </c>
      <c r="V102" s="27" t="s">
        <v>18</v>
      </c>
      <c r="W102" s="27" t="s">
        <v>19</v>
      </c>
      <c r="X102" s="28"/>
      <c r="AW102" s="119" t="s">
        <v>289</v>
      </c>
    </row>
    <row r="103" spans="1:49" s="29" customFormat="1" ht="72.75" customHeight="1" thickBot="1">
      <c r="A103" s="10">
        <f>SUBTOTAL(3,$D$3:D103)</f>
        <v>101</v>
      </c>
      <c r="B103" s="11" t="s">
        <v>262</v>
      </c>
      <c r="C103" s="11" t="s">
        <v>286</v>
      </c>
      <c r="D103" s="174" t="s">
        <v>290</v>
      </c>
      <c r="E103" s="174"/>
      <c r="F103" s="12" t="s">
        <v>10</v>
      </c>
      <c r="G103" s="13" t="s">
        <v>291</v>
      </c>
      <c r="H103" s="13" t="s">
        <v>32</v>
      </c>
      <c r="I103" s="39">
        <v>22402000</v>
      </c>
      <c r="J103" s="15">
        <v>22402000</v>
      </c>
      <c r="K103" s="16">
        <f t="shared" si="3"/>
        <v>0</v>
      </c>
      <c r="L103" s="17"/>
      <c r="M103" s="18" t="s">
        <v>292</v>
      </c>
      <c r="N103" s="19" t="s">
        <v>293</v>
      </c>
      <c r="O103" s="80">
        <v>46150</v>
      </c>
      <c r="P103" s="76">
        <v>0.35</v>
      </c>
      <c r="Q103" s="22">
        <f t="shared" si="4"/>
        <v>0</v>
      </c>
      <c r="R103" s="84"/>
      <c r="S103" s="24" t="s">
        <v>15</v>
      </c>
      <c r="T103" s="43" t="s">
        <v>59</v>
      </c>
      <c r="U103" s="26" t="s">
        <v>17</v>
      </c>
      <c r="V103" s="27" t="s">
        <v>18</v>
      </c>
      <c r="W103" s="27" t="s">
        <v>19</v>
      </c>
      <c r="X103" s="28"/>
      <c r="AW103" s="119" t="s">
        <v>135</v>
      </c>
    </row>
    <row r="104" spans="1:49" s="122" customFormat="1" ht="130.5" customHeight="1" thickBot="1">
      <c r="A104" s="10">
        <f>SUBTOTAL(3,$D$3:D104)</f>
        <v>102</v>
      </c>
      <c r="B104" s="11" t="s">
        <v>294</v>
      </c>
      <c r="C104" s="11" t="s">
        <v>294</v>
      </c>
      <c r="D104" s="174" t="s">
        <v>295</v>
      </c>
      <c r="E104" s="174"/>
      <c r="F104" s="12" t="s">
        <v>10</v>
      </c>
      <c r="G104" s="53" t="s">
        <v>109</v>
      </c>
      <c r="H104" s="53" t="s">
        <v>32</v>
      </c>
      <c r="I104" s="14">
        <v>22000000</v>
      </c>
      <c r="J104" s="15">
        <v>20814000</v>
      </c>
      <c r="K104" s="16">
        <f t="shared" si="3"/>
        <v>1186000</v>
      </c>
      <c r="L104" s="66"/>
      <c r="M104" s="120" t="s">
        <v>296</v>
      </c>
      <c r="N104" s="40" t="s">
        <v>297</v>
      </c>
      <c r="O104" s="73"/>
      <c r="P104" s="121"/>
      <c r="Q104" s="22">
        <f t="shared" si="4"/>
        <v>0</v>
      </c>
      <c r="R104" s="84"/>
      <c r="S104" s="31" t="s">
        <v>28</v>
      </c>
      <c r="T104" s="43" t="s">
        <v>298</v>
      </c>
      <c r="U104" s="34" t="s">
        <v>17</v>
      </c>
      <c r="V104" s="34" t="s">
        <v>18</v>
      </c>
      <c r="W104" s="34" t="s">
        <v>19</v>
      </c>
      <c r="X104" s="35" t="s">
        <v>64</v>
      </c>
    </row>
    <row r="105" spans="1:49" s="29" customFormat="1" ht="108" customHeight="1" thickBot="1">
      <c r="A105" s="10">
        <f>SUBTOTAL(3,$D$3:D105)</f>
        <v>103</v>
      </c>
      <c r="B105" s="11" t="s">
        <v>294</v>
      </c>
      <c r="C105" s="11" t="s">
        <v>294</v>
      </c>
      <c r="D105" s="175" t="s">
        <v>299</v>
      </c>
      <c r="E105" s="176"/>
      <c r="F105" s="12" t="s">
        <v>10</v>
      </c>
      <c r="G105" s="53" t="s">
        <v>21</v>
      </c>
      <c r="H105" s="53" t="s">
        <v>22</v>
      </c>
      <c r="I105" s="14">
        <v>26000000</v>
      </c>
      <c r="J105" s="15">
        <v>19314000</v>
      </c>
      <c r="K105" s="16">
        <f t="shared" si="3"/>
        <v>6686000</v>
      </c>
      <c r="L105" s="17"/>
      <c r="M105" s="120" t="s">
        <v>300</v>
      </c>
      <c r="N105" s="40" t="s">
        <v>301</v>
      </c>
      <c r="O105" s="20"/>
      <c r="P105" s="76"/>
      <c r="Q105" s="22">
        <f t="shared" si="4"/>
        <v>0</v>
      </c>
      <c r="R105" s="84"/>
      <c r="S105" s="31" t="s">
        <v>28</v>
      </c>
      <c r="T105" s="32" t="s">
        <v>302</v>
      </c>
      <c r="U105" s="26" t="s">
        <v>17</v>
      </c>
      <c r="V105" s="27" t="s">
        <v>18</v>
      </c>
      <c r="W105" s="123" t="s">
        <v>19</v>
      </c>
      <c r="X105" s="28" t="s">
        <v>135</v>
      </c>
    </row>
    <row r="106" spans="1:49" s="90" customFormat="1" ht="123" customHeight="1" thickBot="1">
      <c r="A106" s="93">
        <f>SUBTOTAL(3,$D$3:D106)</f>
        <v>104</v>
      </c>
      <c r="B106" s="11" t="s">
        <v>294</v>
      </c>
      <c r="C106" s="11" t="s">
        <v>294</v>
      </c>
      <c r="D106" s="175" t="s">
        <v>303</v>
      </c>
      <c r="E106" s="176"/>
      <c r="F106" s="12" t="s">
        <v>10</v>
      </c>
      <c r="G106" s="47" t="s">
        <v>109</v>
      </c>
      <c r="H106" s="47" t="s">
        <v>32</v>
      </c>
      <c r="I106" s="94">
        <v>3209000</v>
      </c>
      <c r="J106" s="15">
        <v>3209000</v>
      </c>
      <c r="K106" s="16">
        <f t="shared" si="3"/>
        <v>0</v>
      </c>
      <c r="L106" s="16"/>
      <c r="M106" s="120" t="s">
        <v>304</v>
      </c>
      <c r="N106" s="40" t="s">
        <v>41</v>
      </c>
      <c r="O106" s="20"/>
      <c r="P106" s="76"/>
      <c r="Q106" s="22">
        <f t="shared" si="4"/>
        <v>0</v>
      </c>
      <c r="R106" s="124"/>
      <c r="S106" s="24" t="s">
        <v>28</v>
      </c>
      <c r="T106" s="43" t="s">
        <v>305</v>
      </c>
      <c r="U106" s="123" t="s">
        <v>17</v>
      </c>
      <c r="V106" s="123" t="s">
        <v>18</v>
      </c>
      <c r="W106" s="123" t="s">
        <v>19</v>
      </c>
      <c r="X106" s="125" t="s">
        <v>289</v>
      </c>
    </row>
    <row r="107" spans="1:49" s="90" customFormat="1" ht="132" customHeight="1" thickBot="1">
      <c r="A107" s="93">
        <f>SUBTOTAL(3,$D$3:D107)</f>
        <v>105</v>
      </c>
      <c r="B107" s="11" t="s">
        <v>294</v>
      </c>
      <c r="C107" s="11" t="s">
        <v>294</v>
      </c>
      <c r="D107" s="175" t="s">
        <v>306</v>
      </c>
      <c r="E107" s="176"/>
      <c r="F107" s="12" t="s">
        <v>10</v>
      </c>
      <c r="G107" s="47" t="s">
        <v>109</v>
      </c>
      <c r="H107" s="47" t="s">
        <v>32</v>
      </c>
      <c r="I107" s="94">
        <v>3388000</v>
      </c>
      <c r="J107" s="15">
        <v>3388000</v>
      </c>
      <c r="K107" s="16">
        <f t="shared" si="3"/>
        <v>0</v>
      </c>
      <c r="L107" s="16"/>
      <c r="M107" s="120" t="s">
        <v>304</v>
      </c>
      <c r="N107" s="40" t="s">
        <v>41</v>
      </c>
      <c r="O107" s="20"/>
      <c r="P107" s="76"/>
      <c r="Q107" s="22">
        <f t="shared" si="4"/>
        <v>0</v>
      </c>
      <c r="R107" s="124"/>
      <c r="S107" s="24" t="s">
        <v>28</v>
      </c>
      <c r="T107" s="43" t="s">
        <v>305</v>
      </c>
      <c r="U107" s="57" t="s">
        <v>17</v>
      </c>
      <c r="V107" s="123" t="s">
        <v>18</v>
      </c>
      <c r="W107" s="123" t="s">
        <v>19</v>
      </c>
      <c r="X107" s="125" t="s">
        <v>289</v>
      </c>
    </row>
    <row r="108" spans="1:49" s="90" customFormat="1" ht="105" customHeight="1" thickBot="1">
      <c r="A108" s="93">
        <f>SUBTOTAL(3,$D$3:D108)</f>
        <v>106</v>
      </c>
      <c r="B108" s="11" t="s">
        <v>294</v>
      </c>
      <c r="C108" s="11" t="s">
        <v>294</v>
      </c>
      <c r="D108" s="175" t="s">
        <v>307</v>
      </c>
      <c r="E108" s="176"/>
      <c r="F108" s="12" t="s">
        <v>10</v>
      </c>
      <c r="G108" s="13" t="s">
        <v>11</v>
      </c>
      <c r="H108" s="13" t="s">
        <v>12</v>
      </c>
      <c r="I108" s="94">
        <v>15790000</v>
      </c>
      <c r="J108" s="15">
        <v>15790000</v>
      </c>
      <c r="K108" s="16">
        <f t="shared" si="3"/>
        <v>0</v>
      </c>
      <c r="L108" s="16"/>
      <c r="M108" s="120" t="s">
        <v>308</v>
      </c>
      <c r="N108" s="40" t="s">
        <v>253</v>
      </c>
      <c r="O108" s="20"/>
      <c r="P108" s="76"/>
      <c r="Q108" s="22">
        <f t="shared" si="4"/>
        <v>0</v>
      </c>
      <c r="R108" s="124"/>
      <c r="S108" s="24" t="s">
        <v>28</v>
      </c>
      <c r="T108" s="126" t="s">
        <v>309</v>
      </c>
      <c r="U108" s="57" t="s">
        <v>17</v>
      </c>
      <c r="V108" s="123" t="s">
        <v>18</v>
      </c>
      <c r="W108" s="123" t="s">
        <v>19</v>
      </c>
      <c r="X108" s="125"/>
    </row>
    <row r="109" spans="1:49" s="29" customFormat="1" ht="126" customHeight="1" thickBot="1">
      <c r="A109" s="10">
        <f>SUBTOTAL(3,$D$3:D109)</f>
        <v>107</v>
      </c>
      <c r="B109" s="11" t="s">
        <v>294</v>
      </c>
      <c r="C109" s="11" t="s">
        <v>294</v>
      </c>
      <c r="D109" s="175" t="s">
        <v>310</v>
      </c>
      <c r="E109" s="176"/>
      <c r="F109" s="12" t="s">
        <v>10</v>
      </c>
      <c r="G109" s="47" t="s">
        <v>43</v>
      </c>
      <c r="H109" s="47" t="s">
        <v>44</v>
      </c>
      <c r="I109" s="36">
        <v>22972900</v>
      </c>
      <c r="J109" s="15">
        <v>22972900</v>
      </c>
      <c r="K109" s="15">
        <f t="shared" si="3"/>
        <v>0</v>
      </c>
      <c r="L109" s="17"/>
      <c r="M109" s="120"/>
      <c r="N109" s="40"/>
      <c r="O109" s="20"/>
      <c r="P109" s="76"/>
      <c r="Q109" s="22"/>
      <c r="R109" s="84"/>
      <c r="S109" s="31" t="s">
        <v>51</v>
      </c>
      <c r="T109" s="46" t="s">
        <v>311</v>
      </c>
      <c r="U109" s="78" t="s">
        <v>53</v>
      </c>
      <c r="V109" s="27" t="s">
        <v>48</v>
      </c>
      <c r="W109" s="27" t="s">
        <v>54</v>
      </c>
      <c r="X109" s="28"/>
    </row>
    <row r="110" spans="1:49" s="29" customFormat="1" ht="107.25" customHeight="1" thickBot="1">
      <c r="A110" s="10">
        <f>SUBTOTAL(3,$D$3:D110)</f>
        <v>108</v>
      </c>
      <c r="B110" s="11" t="s">
        <v>294</v>
      </c>
      <c r="C110" s="11" t="s">
        <v>312</v>
      </c>
      <c r="D110" s="175" t="s">
        <v>313</v>
      </c>
      <c r="E110" s="176"/>
      <c r="F110" s="12" t="s">
        <v>10</v>
      </c>
      <c r="G110" s="47" t="s">
        <v>11</v>
      </c>
      <c r="H110" s="47" t="s">
        <v>12</v>
      </c>
      <c r="I110" s="14">
        <v>12000000</v>
      </c>
      <c r="J110" s="15">
        <v>12652000</v>
      </c>
      <c r="K110" s="16">
        <f t="shared" si="3"/>
        <v>-652000</v>
      </c>
      <c r="L110" s="17"/>
      <c r="M110" s="18" t="s">
        <v>314</v>
      </c>
      <c r="N110" s="40" t="s">
        <v>155</v>
      </c>
      <c r="O110" s="20">
        <v>46222</v>
      </c>
      <c r="P110" s="76">
        <v>0.05</v>
      </c>
      <c r="Q110" s="22">
        <f t="shared" ref="Q110:Q117" si="6">L110/J110</f>
        <v>0</v>
      </c>
      <c r="R110" s="50"/>
      <c r="S110" s="24" t="s">
        <v>15</v>
      </c>
      <c r="T110" s="43" t="s">
        <v>315</v>
      </c>
      <c r="U110" s="26" t="s">
        <v>17</v>
      </c>
      <c r="V110" s="27" t="s">
        <v>18</v>
      </c>
      <c r="W110" s="123" t="s">
        <v>19</v>
      </c>
      <c r="X110" s="35"/>
    </row>
    <row r="111" spans="1:49" s="90" customFormat="1" ht="92.25" customHeight="1" thickBot="1">
      <c r="A111" s="93">
        <f>SUBTOTAL(3,$D$3:D111)</f>
        <v>109</v>
      </c>
      <c r="B111" s="11" t="s">
        <v>294</v>
      </c>
      <c r="C111" s="11" t="s">
        <v>312</v>
      </c>
      <c r="D111" s="175" t="s">
        <v>316</v>
      </c>
      <c r="E111" s="176"/>
      <c r="F111" s="12" t="s">
        <v>10</v>
      </c>
      <c r="G111" s="47" t="s">
        <v>43</v>
      </c>
      <c r="H111" s="47" t="s">
        <v>44</v>
      </c>
      <c r="I111" s="127">
        <v>9431000</v>
      </c>
      <c r="J111" s="15">
        <v>9431000</v>
      </c>
      <c r="K111" s="15">
        <f t="shared" si="3"/>
        <v>0</v>
      </c>
      <c r="L111" s="16"/>
      <c r="M111" s="18" t="s">
        <v>317</v>
      </c>
      <c r="N111" s="40" t="s">
        <v>318</v>
      </c>
      <c r="O111" s="20">
        <v>46153</v>
      </c>
      <c r="P111" s="128">
        <v>1</v>
      </c>
      <c r="Q111" s="22">
        <f t="shared" si="6"/>
        <v>0</v>
      </c>
      <c r="R111" s="72"/>
      <c r="S111" s="24" t="s">
        <v>80</v>
      </c>
      <c r="T111" s="129" t="s">
        <v>59</v>
      </c>
      <c r="U111" s="57" t="s">
        <v>17</v>
      </c>
      <c r="V111" s="123" t="s">
        <v>18</v>
      </c>
      <c r="W111" s="123" t="s">
        <v>19</v>
      </c>
      <c r="X111" s="125"/>
    </row>
    <row r="112" spans="1:49" s="90" customFormat="1" ht="99.75" customHeight="1" thickBot="1">
      <c r="A112" s="93">
        <f>SUBTOTAL(3,$D$3:D112)</f>
        <v>110</v>
      </c>
      <c r="B112" s="11" t="s">
        <v>294</v>
      </c>
      <c r="C112" s="11" t="s">
        <v>312</v>
      </c>
      <c r="D112" s="175" t="s">
        <v>319</v>
      </c>
      <c r="E112" s="176"/>
      <c r="F112" s="12" t="s">
        <v>10</v>
      </c>
      <c r="G112" s="47" t="s">
        <v>21</v>
      </c>
      <c r="H112" s="47" t="s">
        <v>22</v>
      </c>
      <c r="I112" s="130">
        <v>7969000</v>
      </c>
      <c r="J112" s="15">
        <v>7969000</v>
      </c>
      <c r="K112" s="16">
        <f t="shared" si="3"/>
        <v>0</v>
      </c>
      <c r="L112" s="16"/>
      <c r="M112" s="18" t="s">
        <v>320</v>
      </c>
      <c r="N112" s="40" t="s">
        <v>88</v>
      </c>
      <c r="O112" s="20">
        <v>46153</v>
      </c>
      <c r="P112" s="128">
        <v>0.9</v>
      </c>
      <c r="Q112" s="22">
        <f t="shared" si="6"/>
        <v>0</v>
      </c>
      <c r="R112" s="72"/>
      <c r="S112" s="24" t="s">
        <v>15</v>
      </c>
      <c r="T112" s="129" t="s">
        <v>59</v>
      </c>
      <c r="U112" s="57" t="s">
        <v>17</v>
      </c>
      <c r="V112" s="123" t="s">
        <v>18</v>
      </c>
      <c r="W112" s="123" t="s">
        <v>19</v>
      </c>
      <c r="X112" s="125"/>
    </row>
    <row r="113" spans="1:57" s="90" customFormat="1" ht="101.25" customHeight="1" thickBot="1">
      <c r="A113" s="93">
        <f>SUBTOTAL(3,$D$3:D113)</f>
        <v>111</v>
      </c>
      <c r="B113" s="11" t="s">
        <v>294</v>
      </c>
      <c r="C113" s="11" t="s">
        <v>312</v>
      </c>
      <c r="D113" s="175" t="s">
        <v>321</v>
      </c>
      <c r="E113" s="176"/>
      <c r="F113" s="12" t="s">
        <v>10</v>
      </c>
      <c r="G113" s="47" t="s">
        <v>109</v>
      </c>
      <c r="H113" s="47" t="s">
        <v>32</v>
      </c>
      <c r="I113" s="94">
        <v>12290000</v>
      </c>
      <c r="J113" s="15">
        <v>12290000</v>
      </c>
      <c r="K113" s="16">
        <f t="shared" si="3"/>
        <v>0</v>
      </c>
      <c r="L113" s="16"/>
      <c r="M113" s="18" t="s">
        <v>322</v>
      </c>
      <c r="N113" s="40" t="s">
        <v>323</v>
      </c>
      <c r="O113" s="20">
        <v>46187</v>
      </c>
      <c r="P113" s="128">
        <v>0.1</v>
      </c>
      <c r="Q113" s="22">
        <f t="shared" si="6"/>
        <v>0</v>
      </c>
      <c r="R113" s="72"/>
      <c r="S113" s="24" t="s">
        <v>15</v>
      </c>
      <c r="T113" s="129" t="s">
        <v>16</v>
      </c>
      <c r="U113" s="57" t="s">
        <v>17</v>
      </c>
      <c r="V113" s="123" t="s">
        <v>18</v>
      </c>
      <c r="W113" s="123" t="s">
        <v>19</v>
      </c>
      <c r="X113" s="125"/>
    </row>
    <row r="114" spans="1:57" s="90" customFormat="1" ht="111" customHeight="1" thickBot="1">
      <c r="A114" s="93">
        <f>SUBTOTAL(3,$D$3:D114)</f>
        <v>112</v>
      </c>
      <c r="B114" s="11" t="s">
        <v>294</v>
      </c>
      <c r="C114" s="11" t="s">
        <v>312</v>
      </c>
      <c r="D114" s="175" t="s">
        <v>324</v>
      </c>
      <c r="E114" s="176"/>
      <c r="F114" s="12" t="s">
        <v>10</v>
      </c>
      <c r="G114" s="47" t="s">
        <v>11</v>
      </c>
      <c r="H114" s="47" t="s">
        <v>12</v>
      </c>
      <c r="I114" s="94">
        <v>10000000</v>
      </c>
      <c r="J114" s="15">
        <v>10238000</v>
      </c>
      <c r="K114" s="16">
        <f t="shared" si="3"/>
        <v>-238000</v>
      </c>
      <c r="L114" s="16"/>
      <c r="M114" s="18" t="s">
        <v>314</v>
      </c>
      <c r="N114" s="40" t="s">
        <v>155</v>
      </c>
      <c r="O114" s="20">
        <v>46222</v>
      </c>
      <c r="P114" s="76">
        <v>0.05</v>
      </c>
      <c r="Q114" s="22">
        <f t="shared" si="6"/>
        <v>0</v>
      </c>
      <c r="R114" s="72"/>
      <c r="S114" s="24" t="s">
        <v>15</v>
      </c>
      <c r="T114" s="43" t="s">
        <v>315</v>
      </c>
      <c r="U114" s="26" t="s">
        <v>17</v>
      </c>
      <c r="V114" s="123" t="s">
        <v>18</v>
      </c>
      <c r="W114" s="123" t="s">
        <v>19</v>
      </c>
      <c r="X114" s="35" t="s">
        <v>289</v>
      </c>
    </row>
    <row r="115" spans="1:57" s="90" customFormat="1" ht="72.75" customHeight="1" thickBot="1">
      <c r="A115" s="93">
        <f>SUBTOTAL(3,$D$3:D115)</f>
        <v>113</v>
      </c>
      <c r="B115" s="11" t="s">
        <v>294</v>
      </c>
      <c r="C115" s="11" t="s">
        <v>312</v>
      </c>
      <c r="D115" s="175" t="s">
        <v>325</v>
      </c>
      <c r="E115" s="176"/>
      <c r="F115" s="12" t="s">
        <v>10</v>
      </c>
      <c r="G115" s="47" t="s">
        <v>31</v>
      </c>
      <c r="H115" s="47" t="s">
        <v>32</v>
      </c>
      <c r="I115" s="130">
        <v>5757000</v>
      </c>
      <c r="J115" s="15">
        <v>5757000</v>
      </c>
      <c r="K115" s="16">
        <f t="shared" si="3"/>
        <v>0</v>
      </c>
      <c r="L115" s="16"/>
      <c r="M115" s="18" t="s">
        <v>79</v>
      </c>
      <c r="N115" s="40" t="s">
        <v>124</v>
      </c>
      <c r="O115" s="20">
        <v>46153</v>
      </c>
      <c r="P115" s="128">
        <v>0.65</v>
      </c>
      <c r="Q115" s="22">
        <f t="shared" si="6"/>
        <v>0</v>
      </c>
      <c r="R115" s="72"/>
      <c r="S115" s="24" t="s">
        <v>15</v>
      </c>
      <c r="T115" s="129" t="s">
        <v>59</v>
      </c>
      <c r="U115" s="57" t="s">
        <v>17</v>
      </c>
      <c r="V115" s="123" t="s">
        <v>18</v>
      </c>
      <c r="W115" s="123" t="s">
        <v>19</v>
      </c>
      <c r="X115" s="125"/>
    </row>
    <row r="116" spans="1:57" s="90" customFormat="1" ht="74.25" customHeight="1" thickBot="1">
      <c r="A116" s="93">
        <f>SUBTOTAL(3,$D$3:D116)</f>
        <v>114</v>
      </c>
      <c r="B116" s="11" t="s">
        <v>294</v>
      </c>
      <c r="C116" s="11" t="s">
        <v>312</v>
      </c>
      <c r="D116" s="182" t="s">
        <v>326</v>
      </c>
      <c r="E116" s="183"/>
      <c r="F116" s="12" t="s">
        <v>10</v>
      </c>
      <c r="G116" s="47" t="s">
        <v>43</v>
      </c>
      <c r="H116" s="47" t="s">
        <v>44</v>
      </c>
      <c r="I116" s="127">
        <v>45000000</v>
      </c>
      <c r="J116" s="15">
        <v>37038000</v>
      </c>
      <c r="K116" s="15">
        <f t="shared" si="3"/>
        <v>7962000</v>
      </c>
      <c r="L116" s="16"/>
      <c r="M116" s="54" t="s">
        <v>45</v>
      </c>
      <c r="N116" s="131" t="s">
        <v>155</v>
      </c>
      <c r="O116" s="132">
        <v>46222</v>
      </c>
      <c r="P116" s="76"/>
      <c r="Q116" s="22">
        <f t="shared" si="6"/>
        <v>0</v>
      </c>
      <c r="R116" s="72"/>
      <c r="S116" s="24" t="s">
        <v>28</v>
      </c>
      <c r="T116" s="43" t="s">
        <v>315</v>
      </c>
      <c r="U116" s="26" t="s">
        <v>17</v>
      </c>
      <c r="V116" s="123" t="s">
        <v>48</v>
      </c>
      <c r="W116" s="123" t="s">
        <v>19</v>
      </c>
      <c r="X116" s="35" t="s">
        <v>64</v>
      </c>
    </row>
    <row r="117" spans="1:57" s="90" customFormat="1" ht="72" customHeight="1" thickBot="1">
      <c r="A117" s="133">
        <f>SUBTOTAL(3,$D$3:D117)</f>
        <v>115</v>
      </c>
      <c r="B117" s="134" t="s">
        <v>294</v>
      </c>
      <c r="C117" s="134" t="s">
        <v>312</v>
      </c>
      <c r="D117" s="184" t="s">
        <v>327</v>
      </c>
      <c r="E117" s="185"/>
      <c r="F117" s="12" t="s">
        <v>10</v>
      </c>
      <c r="G117" s="47" t="s">
        <v>71</v>
      </c>
      <c r="H117" s="47" t="s">
        <v>32</v>
      </c>
      <c r="I117" s="130">
        <v>2547000</v>
      </c>
      <c r="J117" s="15">
        <v>2547000</v>
      </c>
      <c r="K117" s="16">
        <f t="shared" si="3"/>
        <v>0</v>
      </c>
      <c r="L117" s="16"/>
      <c r="M117" s="64" t="s">
        <v>328</v>
      </c>
      <c r="N117" s="40" t="s">
        <v>329</v>
      </c>
      <c r="O117" s="20">
        <v>46153</v>
      </c>
      <c r="P117" s="128">
        <v>1</v>
      </c>
      <c r="Q117" s="22">
        <f t="shared" si="6"/>
        <v>0</v>
      </c>
      <c r="R117" s="72"/>
      <c r="S117" s="24" t="s">
        <v>80</v>
      </c>
      <c r="T117" s="129" t="s">
        <v>158</v>
      </c>
      <c r="U117" s="57" t="s">
        <v>17</v>
      </c>
      <c r="V117" s="123" t="s">
        <v>18</v>
      </c>
      <c r="W117" s="123" t="s">
        <v>19</v>
      </c>
      <c r="X117" s="125"/>
    </row>
    <row r="118" spans="1:57" s="9" customFormat="1" ht="124.5" customHeight="1" thickBot="1">
      <c r="A118" s="135"/>
      <c r="B118" s="136"/>
      <c r="C118" s="136"/>
      <c r="D118" s="136"/>
      <c r="E118" s="136"/>
      <c r="F118" s="137">
        <f>A117</f>
        <v>115</v>
      </c>
      <c r="G118" s="186" t="s">
        <v>330</v>
      </c>
      <c r="H118" s="186"/>
      <c r="I118" s="138">
        <f>SUBTOTAL(9,I3:I117)</f>
        <v>1660059000</v>
      </c>
      <c r="J118" s="139">
        <f>SUBTOTAL(9,$J$3:J117)</f>
        <v>1660058900</v>
      </c>
      <c r="K118" s="140">
        <f>SUBTOTAL(9,$K$3:K117)</f>
        <v>100</v>
      </c>
      <c r="L118" s="139">
        <f>SUBTOTAL(9,$L$3:L117)</f>
        <v>152975791.25999999</v>
      </c>
      <c r="M118" s="141"/>
      <c r="N118" s="142"/>
      <c r="O118" s="142"/>
      <c r="P118" s="142"/>
      <c r="Q118" s="142"/>
      <c r="R118" s="143"/>
      <c r="S118" s="142"/>
      <c r="T118" s="144"/>
      <c r="U118" s="78"/>
      <c r="V118" s="123"/>
      <c r="W118" s="123"/>
      <c r="X118" s="125"/>
      <c r="Y118" s="145"/>
      <c r="Z118" s="145"/>
      <c r="AA118" s="145"/>
      <c r="AB118" s="145"/>
      <c r="AC118" s="145"/>
      <c r="AD118" s="145"/>
      <c r="AE118" s="145"/>
      <c r="AF118" s="145"/>
      <c r="AG118" s="145"/>
      <c r="AH118" s="145"/>
      <c r="AI118" s="145"/>
      <c r="AJ118" s="145"/>
      <c r="AK118" s="145"/>
      <c r="AL118" s="145"/>
      <c r="AM118" s="145"/>
      <c r="AN118" s="145"/>
      <c r="AO118" s="145"/>
      <c r="AP118" s="145"/>
      <c r="AQ118" s="145"/>
      <c r="AR118" s="145"/>
      <c r="AS118" s="145"/>
      <c r="AT118" s="145"/>
      <c r="AU118" s="145"/>
      <c r="AV118" s="145"/>
      <c r="AW118" s="145"/>
      <c r="AX118" s="145"/>
      <c r="AY118" s="145"/>
      <c r="AZ118" s="145"/>
      <c r="BA118" s="145"/>
      <c r="BB118" s="145"/>
      <c r="BC118" s="145"/>
      <c r="BD118" s="145"/>
      <c r="BE118" s="145"/>
    </row>
    <row r="119" spans="1:57" s="157" customFormat="1" ht="59.25" customHeight="1">
      <c r="A119" s="146"/>
      <c r="B119" s="187"/>
      <c r="C119" s="187"/>
      <c r="D119" s="147"/>
      <c r="E119" s="147"/>
      <c r="F119" s="148"/>
      <c r="G119" s="149"/>
      <c r="H119" s="150"/>
      <c r="I119" s="151"/>
      <c r="J119" s="151"/>
      <c r="K119" s="151"/>
      <c r="L119" s="151"/>
      <c r="M119" s="152"/>
      <c r="N119" s="149"/>
      <c r="O119" s="153"/>
      <c r="P119" s="153"/>
      <c r="Q119" s="153"/>
      <c r="R119" s="149"/>
      <c r="S119" s="154"/>
      <c r="T119" s="155"/>
      <c r="U119" s="156"/>
      <c r="X119" s="158"/>
      <c r="Y119" s="149"/>
      <c r="Z119" s="149"/>
      <c r="AA119" s="149"/>
      <c r="AB119" s="149"/>
      <c r="AC119" s="149"/>
      <c r="AD119" s="149"/>
      <c r="AE119" s="149"/>
      <c r="AF119" s="149"/>
      <c r="AG119" s="149"/>
      <c r="AH119" s="149"/>
      <c r="AI119" s="149"/>
      <c r="AJ119" s="149"/>
      <c r="AK119" s="149"/>
      <c r="AL119" s="149"/>
      <c r="AM119" s="149"/>
      <c r="AN119" s="149"/>
      <c r="AO119" s="149"/>
      <c r="AP119" s="149"/>
      <c r="AQ119" s="149"/>
      <c r="AR119" s="149"/>
      <c r="AS119" s="149"/>
      <c r="AT119" s="149"/>
      <c r="AU119" s="149"/>
      <c r="AV119" s="149"/>
      <c r="AW119" s="149"/>
      <c r="AX119" s="149"/>
      <c r="AY119" s="149"/>
      <c r="AZ119" s="149"/>
      <c r="BA119" s="149"/>
      <c r="BB119" s="149"/>
      <c r="BC119" s="149"/>
      <c r="BD119" s="149"/>
      <c r="BE119" s="149"/>
    </row>
    <row r="120" spans="1:57" ht="59.25" customHeight="1">
      <c r="B120" s="159"/>
      <c r="C120" s="160"/>
      <c r="L120" s="161"/>
      <c r="O120" s="153"/>
      <c r="P120" s="153"/>
      <c r="Q120" s="153"/>
      <c r="X120" s="157"/>
    </row>
    <row r="121" spans="1:57" ht="59.25" customHeight="1">
      <c r="B121" s="159"/>
      <c r="C121" s="160"/>
      <c r="X121" s="157"/>
    </row>
    <row r="122" spans="1:57" ht="59.25" hidden="1" customHeight="1">
      <c r="B122" s="159"/>
    </row>
    <row r="123" spans="1:57" ht="59.25" hidden="1" customHeight="1"/>
    <row r="124" spans="1:57" ht="59.25" hidden="1" customHeight="1">
      <c r="S124" s="164"/>
      <c r="T124" s="165"/>
    </row>
    <row r="125" spans="1:57" ht="59.25" hidden="1" customHeight="1">
      <c r="B125" s="166"/>
      <c r="T125" s="167"/>
      <c r="V125" s="168"/>
    </row>
    <row r="126" spans="1:57" ht="59.25" hidden="1" customHeight="1">
      <c r="B126" s="166"/>
      <c r="M126" s="169"/>
      <c r="T126" s="170"/>
      <c r="V126" s="168"/>
    </row>
    <row r="127" spans="1:57" ht="59.25" hidden="1" customHeight="1">
      <c r="B127" s="166"/>
      <c r="M127" s="169"/>
      <c r="T127" s="170"/>
      <c r="V127" s="168"/>
    </row>
    <row r="128" spans="1:57" ht="59.25" hidden="1" customHeight="1">
      <c r="B128" s="166"/>
      <c r="V128" s="168"/>
    </row>
    <row r="129" spans="2:22" ht="59.25" hidden="1" customHeight="1">
      <c r="B129" s="166"/>
      <c r="V129" s="168"/>
    </row>
    <row r="130" spans="2:22" ht="59.25" hidden="1" customHeight="1">
      <c r="B130" s="166"/>
      <c r="V130" s="168"/>
    </row>
    <row r="131" spans="2:22" ht="59.25" hidden="1" customHeight="1">
      <c r="B131" s="166"/>
      <c r="V131" s="168"/>
    </row>
    <row r="132" spans="2:22" ht="59.25" hidden="1" customHeight="1">
      <c r="B132" s="166"/>
    </row>
    <row r="133" spans="2:22" ht="59.25" hidden="1" customHeight="1">
      <c r="B133" s="166"/>
    </row>
    <row r="134" spans="2:22" ht="59.25" hidden="1" customHeight="1">
      <c r="B134" s="166"/>
    </row>
    <row r="135" spans="2:22" ht="59.25" hidden="1" customHeight="1"/>
    <row r="136" spans="2:22" ht="59.25" hidden="1" customHeight="1"/>
    <row r="137" spans="2:22" ht="59.25" hidden="1" customHeight="1"/>
    <row r="138" spans="2:22" ht="59.25" hidden="1" customHeight="1"/>
    <row r="139" spans="2:22" ht="59.25" hidden="1" customHeight="1"/>
    <row r="140" spans="2:22" ht="59.25" hidden="1" customHeight="1"/>
    <row r="141" spans="2:22" ht="59.25" hidden="1" customHeight="1"/>
    <row r="142" spans="2:22" ht="59.25" hidden="1" customHeight="1"/>
    <row r="143" spans="2:22" ht="59.25" hidden="1" customHeight="1"/>
    <row r="144" spans="2:22" ht="59.25" hidden="1" customHeight="1"/>
    <row r="145" spans="5:5" ht="59.25" hidden="1" customHeight="1"/>
    <row r="146" spans="5:5" ht="59.25" hidden="1" customHeight="1"/>
    <row r="147" spans="5:5" ht="59.25" hidden="1" customHeight="1"/>
    <row r="148" spans="5:5" ht="59.25" hidden="1" customHeight="1"/>
    <row r="149" spans="5:5" ht="59.25" hidden="1" customHeight="1"/>
    <row r="150" spans="5:5" ht="59.25" hidden="1" customHeight="1"/>
    <row r="151" spans="5:5" ht="59.25" hidden="1" customHeight="1">
      <c r="E151" s="171"/>
    </row>
  </sheetData>
  <autoFilter ref="A2:BE117" xr:uid="{00000000-0009-0000-0000-000000000000}">
    <filterColumn colId="3" showButton="0"/>
  </autoFilter>
  <mergeCells count="121">
    <mergeCell ref="D114:E114"/>
    <mergeCell ref="D115:E115"/>
    <mergeCell ref="D116:E116"/>
    <mergeCell ref="D117:E117"/>
    <mergeCell ref="G118:H118"/>
    <mergeCell ref="B119:C119"/>
    <mergeCell ref="D108:E108"/>
    <mergeCell ref="D109:E109"/>
    <mergeCell ref="D110:E110"/>
    <mergeCell ref="D111:E111"/>
    <mergeCell ref="D112:E112"/>
    <mergeCell ref="D113:E113"/>
    <mergeCell ref="D102:E102"/>
    <mergeCell ref="D103:E103"/>
    <mergeCell ref="D104:E104"/>
    <mergeCell ref="D105:E105"/>
    <mergeCell ref="D106:E106"/>
    <mergeCell ref="D107:E107"/>
    <mergeCell ref="D97:E97"/>
    <mergeCell ref="D98:E98"/>
    <mergeCell ref="D99:E99"/>
    <mergeCell ref="D100:E100"/>
    <mergeCell ref="G100:G101"/>
    <mergeCell ref="I100:I101"/>
    <mergeCell ref="D101:E101"/>
    <mergeCell ref="D91:E91"/>
    <mergeCell ref="D92:E92"/>
    <mergeCell ref="D93:E93"/>
    <mergeCell ref="D94:E94"/>
    <mergeCell ref="D95:E95"/>
    <mergeCell ref="D96:E96"/>
    <mergeCell ref="D85:E85"/>
    <mergeCell ref="D86:E86"/>
    <mergeCell ref="D87:E87"/>
    <mergeCell ref="D88:E88"/>
    <mergeCell ref="D89:E89"/>
    <mergeCell ref="D90:E90"/>
    <mergeCell ref="D79:E79"/>
    <mergeCell ref="D80:E80"/>
    <mergeCell ref="D81:E81"/>
    <mergeCell ref="D82:E82"/>
    <mergeCell ref="D83:E83"/>
    <mergeCell ref="D84:E84"/>
    <mergeCell ref="D73:E73"/>
    <mergeCell ref="D74:E74"/>
    <mergeCell ref="D75:E75"/>
    <mergeCell ref="D76:E76"/>
    <mergeCell ref="D77:E77"/>
    <mergeCell ref="D78:E78"/>
    <mergeCell ref="D67:E67"/>
    <mergeCell ref="D68:E68"/>
    <mergeCell ref="D69:E69"/>
    <mergeCell ref="D70:E70"/>
    <mergeCell ref="D71:E71"/>
    <mergeCell ref="D72:E72"/>
    <mergeCell ref="D61:E61"/>
    <mergeCell ref="D62:E62"/>
    <mergeCell ref="D63:E63"/>
    <mergeCell ref="D64:E64"/>
    <mergeCell ref="D65:E65"/>
    <mergeCell ref="D66:E66"/>
    <mergeCell ref="D55:E55"/>
    <mergeCell ref="D56:E56"/>
    <mergeCell ref="D57:E57"/>
    <mergeCell ref="D58:E58"/>
    <mergeCell ref="D59:E59"/>
    <mergeCell ref="D60:E60"/>
    <mergeCell ref="D49:E49"/>
    <mergeCell ref="D50:E50"/>
    <mergeCell ref="D51:E51"/>
    <mergeCell ref="D52:E52"/>
    <mergeCell ref="D53:E53"/>
    <mergeCell ref="D54:E54"/>
    <mergeCell ref="D43:E43"/>
    <mergeCell ref="D44:E44"/>
    <mergeCell ref="D45:E45"/>
    <mergeCell ref="D46:E46"/>
    <mergeCell ref="D47:E47"/>
    <mergeCell ref="D48:E48"/>
    <mergeCell ref="D37:E37"/>
    <mergeCell ref="D38:E38"/>
    <mergeCell ref="D39:E39"/>
    <mergeCell ref="D40:E40"/>
    <mergeCell ref="D41:E41"/>
    <mergeCell ref="D42:E42"/>
    <mergeCell ref="D31:E31"/>
    <mergeCell ref="D32:E32"/>
    <mergeCell ref="D33:E33"/>
    <mergeCell ref="D34:E34"/>
    <mergeCell ref="D35:E35"/>
    <mergeCell ref="D36:E36"/>
    <mergeCell ref="D25:E25"/>
    <mergeCell ref="D26:E26"/>
    <mergeCell ref="D27:E27"/>
    <mergeCell ref="D28:E28"/>
    <mergeCell ref="D29:E29"/>
    <mergeCell ref="D30:E30"/>
    <mergeCell ref="D19:E19"/>
    <mergeCell ref="D20:E20"/>
    <mergeCell ref="D21:E21"/>
    <mergeCell ref="D22:E22"/>
    <mergeCell ref="D23:E23"/>
    <mergeCell ref="D24:E24"/>
    <mergeCell ref="D16:E16"/>
    <mergeCell ref="D17:E17"/>
    <mergeCell ref="D18:E18"/>
    <mergeCell ref="D7:E7"/>
    <mergeCell ref="D8:E8"/>
    <mergeCell ref="D9:E9"/>
    <mergeCell ref="D10:E10"/>
    <mergeCell ref="D11:E11"/>
    <mergeCell ref="D12:E12"/>
    <mergeCell ref="A1:T1"/>
    <mergeCell ref="D2:E2"/>
    <mergeCell ref="D3:E3"/>
    <mergeCell ref="D4:E4"/>
    <mergeCell ref="D5:E5"/>
    <mergeCell ref="D6:E6"/>
    <mergeCell ref="D13:E13"/>
    <mergeCell ref="D14:E14"/>
    <mergeCell ref="D15:E15"/>
  </mergeCells>
  <dataValidations count="1">
    <dataValidation type="list" allowBlank="1" showInputMessage="1" showErrorMessage="1" sqref="R68 V3:W117" xr:uid="{00000000-0002-0000-0000-000000000000}">
      <formula1>#REF!</formula1>
    </dataValidation>
  </dataValidations>
  <pageMargins left="0.19685039370078741" right="0.19685039370078741" top="0.19685039370078741" bottom="0.19685039370078741" header="0.19685039370078741" footer="0.19685039370078741"/>
  <pageSetup paperSize="9" scale="24" fitToHeight="6" orientation="landscape" horizontalDpi="200" verticalDpi="200" r:id="rId1"/>
  <rowBreaks count="1" manualBreakCount="1">
    <brk id="78" max="3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ADSEC</vt:lpstr>
      <vt:lpstr>ADSEC!Print_Area</vt:lpstr>
      <vt:lpstr>ADSEC!Print_Titles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taki pc</dc:creator>
  <cp:lastModifiedBy>Fi ISmail</cp:lastModifiedBy>
  <dcterms:created xsi:type="dcterms:W3CDTF">2026-07-23T12:59:43Z</dcterms:created>
  <dcterms:modified xsi:type="dcterms:W3CDTF">2026-07-23T21:01:32Z</dcterms:modified>
</cp:coreProperties>
</file>